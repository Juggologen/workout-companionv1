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xercise Library" sheetId="2" state="visible" r:id="rId4"/>
    <sheet name="Warm-Up Library" sheetId="3" state="visible" r:id="rId5"/>
    <sheet name="Mobility Library" sheetId="4" state="visible" r:id="rId6"/>
    <sheet name="Prescriptions" sheetId="5" state="visible" r:id="rId7"/>
    <sheet name="Workout A" sheetId="6" state="visible" r:id="rId8"/>
    <sheet name="Workout B" sheetId="7" state="visible" r:id="rId9"/>
    <sheet name="Workout C" sheetId="8" state="visible" r:id="rId10"/>
    <sheet name="Training Log" sheetId="9" state="visible" r:id="rId11"/>
    <sheet name="Progress" sheetId="10" state="visible" r:id="rId12"/>
  </sheets>
  <definedNames>
    <definedName function="false" hidden="true" localSheetId="1" name="_xlnm._FilterDatabase" vbProcedure="false">'Exercise Library'!$A$4:$J$171</definedName>
    <definedName function="false" hidden="true" localSheetId="3" name="_xlnm._FilterDatabase" vbProcedure="false">'Mobility Library'!$A$4:$I$47</definedName>
    <definedName function="false" hidden="true" localSheetId="9" name="_xlnm._FilterDatabase" vbProcedure="false">Progress!$A$4:$H$171</definedName>
    <definedName function="false" hidden="true" localSheetId="8" name="_xlnm._FilterDatabase" vbProcedure="false">'Training Log'!$A$4:$J$301</definedName>
    <definedName function="false" hidden="true" localSheetId="2" name="_xlnm._FilterDatabase" vbProcedure="false">'Warm-Up Library'!$A$4:$I$53</definedName>
    <definedName function="false" hidden="false" name="Ex1RM" vbProcedure="false">'Exercise Library'!$J$5:$J$186</definedName>
    <definedName function="false" hidden="false" name="ExEquip" vbProcedure="false">'Exercise Library'!$D$5:$D$186</definedName>
    <definedName function="false" hidden="false" name="ExName" vbProcedure="false">'Exercise Library'!$B$5:$B$186</definedName>
    <definedName function="false" hidden="false" name="ExPattern" vbProcedure="false">'Exercise Library'!$E$5:$E$186</definedName>
    <definedName function="false" hidden="false" name="ExPick" vbProcedure="false">'Exercise Library'!$B$5:$B$171</definedName>
    <definedName function="false" hidden="false" name="ExPrimary" vbProcedure="false">'Exercise Library'!$F$5:$F$186</definedName>
    <definedName function="false" hidden="false" name="ExProfile" vbProcedure="false">'Exercise Library'!$H$5:$H$186</definedName>
    <definedName function="false" hidden="false" name="ExSecondary" vbProcedure="false">'Exercise Library'!$G$5:$G$186</definedName>
    <definedName function="false" hidden="false" name="MoHow" vbProcedure="false">'Mobility Library'!$I$5:$I$47</definedName>
    <definedName function="false" hidden="false" name="MoMin" vbProcedure="false">'Mobility Library'!$H$5:$H$47</definedName>
    <definedName function="false" hidden="false" name="MoName" vbProcedure="false">'Mobility Library'!$B$5:$B$47</definedName>
    <definedName function="false" hidden="false" name="MoPriority" vbProcedure="false">'Mobility Library'!$G$5:$G$47</definedName>
    <definedName function="false" hidden="false" name="MoTarget" vbProcedure="false">'Mobility Library'!$F$5:$F$47</definedName>
    <definedName function="false" hidden="false" name="MoType" vbProcedure="false">'Mobility Library'!$D$5:$D$47</definedName>
    <definedName function="false" hidden="false" name="MoTypeN" vbProcedure="false">'Mobility Library'!$E$5:$E$47</definedName>
    <definedName function="false" hidden="false" name="PrKey" vbProcedure="false">Prescriptions!$A$5:$A$25</definedName>
    <definedName function="false" hidden="false" name="PrLoad" vbProcedure="false">Prescriptions!$F$5:$F$25</definedName>
    <definedName function="false" hidden="false" name="PrMax" vbProcedure="false">Prescriptions!$H$5:$H$25</definedName>
    <definedName function="false" hidden="false" name="PrMin" vbProcedure="false">Prescriptions!$G$5:$G$25</definedName>
    <definedName function="false" hidden="false" name="PrNote" vbProcedure="false">Prescriptions!$J$5:$J$25</definedName>
    <definedName function="false" hidden="false" name="PrReps" vbProcedure="false">Prescriptions!$E$5:$E$25</definedName>
    <definedName function="false" hidden="false" name="PrRest" vbProcedure="false">Prescriptions!$I$5:$I$25</definedName>
    <definedName function="false" hidden="false" name="PrRestS" vbProcedure="false">Prescriptions!$M$5:$M$25</definedName>
    <definedName function="false" hidden="false" name="PrSets" vbProcedure="false">Prescriptions!$D$5:$D$25</definedName>
    <definedName function="false" hidden="false" name="PrSetsN" vbProcedure="false">Prescriptions!$K$5:$K$25</definedName>
    <definedName function="false" hidden="false" name="PrWorkS" vbProcedure="false">Prescriptions!$L$5:$L$25</definedName>
    <definedName function="false" hidden="false" name="TimeSetup" vbProcedure="false">Prescriptions!$D$28</definedName>
    <definedName function="false" hidden="false" name="WuHow" vbProcedure="false">'Warm-Up Library'!$I$5:$I$53</definedName>
    <definedName function="false" hidden="false" name="WuMin" vbProcedure="false">'Warm-Up Library'!$H$5:$H$53</definedName>
    <definedName function="false" hidden="false" name="WuName" vbProcedure="false">'Warm-Up Library'!$B$5:$B$53</definedName>
    <definedName function="false" hidden="false" name="WuPhase" vbProcedure="false">'Warm-Up Library'!$D$5:$D$53</definedName>
    <definedName function="false" hidden="false" name="WuPhaseN" vbProcedure="false">'Warm-Up Library'!$E$5:$E$53</definedName>
    <definedName function="false" hidden="false" name="WuPriority" vbProcedure="false">'Warm-Up Library'!$G$5:$G$53</definedName>
    <definedName function="false" hidden="false" name="WuTrigger" vbProcedure="false">'Warm-Up Library'!$F$5:$F$53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<sst xmlns="http://schemas.openxmlformats.org/spreadsheetml/2006/main" count="2474" uniqueCount="1066">
  <si>
    <t xml:space="preserve">Gym Exercise Compendium &amp; Workout Builder</t>
  </si>
  <si>
    <t xml:space="preserve">The sheets</t>
  </si>
  <si>
    <t xml:space="preserve">Exercise Library</t>
  </si>
  <si>
    <t xml:space="preserve">167 exercises: equipment, movement pattern, primary and secondary muscle groups, and a prescription profile. Add your own rows at the bottom.</t>
  </si>
  <si>
    <t xml:space="preserve">Warm-Up Library</t>
  </si>
  <si>
    <t xml:space="preserve">49 drills, each tagged with the movement pattern or muscle group that should trigger it, a phase, a priority and a duration.</t>
  </si>
  <si>
    <t xml:space="preserve">Mobility Library</t>
  </si>
  <si>
    <t xml:space="preserve">43 mobility exercises, all doable on a yoga mat with no equipment. Tagged by target muscle group.</t>
  </si>
  <si>
    <t xml:space="preserve">Prescriptions</t>
  </si>
  <si>
    <t xml:space="preserve">The engine. Per profile and goal: sets, reps, load, rest — plus the numbers used for the time estimate. Edit these and every workout sheet follows.</t>
  </si>
  <si>
    <t xml:space="preserve">Workout A / B / C</t>
  </si>
  <si>
    <t xml:space="preserve">Warm-up, main session, cool-down and a time estimate on one page. Copy a tab (right-click → Move or Copy) for more sessions.</t>
  </si>
  <si>
    <t xml:space="preserve">Training Log</t>
  </si>
  <si>
    <t xml:space="preserve">One row per set. Volume and estimated 1RM calculate themselves.</t>
  </si>
  <si>
    <t xml:space="preserve">Progress</t>
  </si>
  <si>
    <t xml:space="preserve">Automatic summary per exercise: best estimated 1RM, heaviest set, total volume, last trained.</t>
  </si>
  <si>
    <t xml:space="preserve">How the warm-up builds itself</t>
  </si>
  <si>
    <t xml:space="preserve">Step 1</t>
  </si>
  <si>
    <t xml:space="preserve">You pick your main exercises. Their movement patterns and muscle groups are what the warm-up reacts to — choose a squat and the squat drills become available, choose a carry and grip prep appears.</t>
  </si>
  <si>
    <t xml:space="preserve">Step 2</t>
  </si>
  <si>
    <t xml:space="preserve">You set a warm-up budget in minutes. The sheet works down the drill list in priority order and keeps adding until the budget runs out. Low budget means you get the general raise and your ramp-up sets; a bigger budget buys mobility and activation work on top.</t>
  </si>
  <si>
    <t xml:space="preserve">Step 3</t>
  </si>
  <si>
    <t xml:space="preserve">Nothing is locked. Widen the budget, or reorder the Priority column in the Warm-Up Library if you disagree with what gets cut first.</t>
  </si>
  <si>
    <t xml:space="preserve">Cool-down</t>
  </si>
  <si>
    <t xml:space="preserve">Works the same way, but triggers off the muscle groups you actually trained — primary and secondary. Set the budget to 0 if you want to skip it.</t>
  </si>
  <si>
    <t xml:space="preserve">How the time estimate works</t>
  </si>
  <si>
    <t xml:space="preserve">Per exercise</t>
  </si>
  <si>
    <t xml:space="preserve">Sets × (work time per set + rest) + set-up time. The three numbers come from the Prescriptions sheet, so a strength session with 4-minute rests estimates far longer than the same exercises done for endurance.</t>
  </si>
  <si>
    <t xml:space="preserve">Set-up time</t>
  </si>
  <si>
    <t xml:space="preserve">A flat allowance per exercise for walking over, loading the bar and adjusting the machine. It sits on the Prescriptions sheet — 90 seconds by default. Raise it for a busy gym.</t>
  </si>
  <si>
    <t xml:space="preserve">Total</t>
  </si>
  <si>
    <t xml:space="preserve">Warm-up + main session + cool-down, shown in minutes and as h:mm. Treat it as ±15%: it can't know how long you spend chatting or waiting for a rack.</t>
  </si>
  <si>
    <t xml:space="preserve">Colour legend</t>
  </si>
  <si>
    <t xml:space="preserve">Yellow cells</t>
  </si>
  <si>
    <t xml:space="preserve">You type here.</t>
  </si>
  <si>
    <t xml:space="preserve">Grey cells</t>
  </si>
  <si>
    <t xml:space="preserve">Calculated — don't overwrite, or you break the automation.</t>
  </si>
  <si>
    <t xml:space="preserve">White cells</t>
  </si>
  <si>
    <t xml:space="preserve">Reference data you can edit if you want to.</t>
  </si>
  <si>
    <t xml:space="preserve">Notes on the numbers</t>
  </si>
  <si>
    <t xml:space="preserve">Loads</t>
  </si>
  <si>
    <t xml:space="preserve">All loads in kilograms. Percentages refer to your one-rep max for that exercise. Suggested kilos are rounded to the nearest 2.5 kg. Back Squat has an example 1RM of 100 kg filled in so you can see the automation working — replace it with your own.</t>
  </si>
  <si>
    <t xml:space="preserve">Estimated 1RM</t>
  </si>
  <si>
    <t xml:space="preserve">Training Log column I uses the Epley formula: weight × (1 + reps ÷ 30). Reliable up to about 10 reps, optimistic above that.</t>
  </si>
  <si>
    <t xml:space="preserve">Carries</t>
  </si>
  <si>
    <t xml:space="preserve">For carry exercises, 'Your 1RM' means the heaviest total load you can carry for roughly 20 m.</t>
  </si>
  <si>
    <t xml:space="preserve">Bodyweight &amp; plyometrics</t>
  </si>
  <si>
    <t xml:space="preserve">No percentage is prescribed — these are governed by quality and speed, not load.</t>
  </si>
  <si>
    <t xml:space="preserve">Prescription source</t>
  </si>
  <si>
    <t xml:space="preserve">Set/rep/load/rest ranges follow standard strength &amp; conditioning practice (ACSM and NSCA resistance-training guidelines). Starting points, not prescriptions.</t>
  </si>
  <si>
    <t xml:space="preserve">Add your own exercises on the first empty row. Use the same wording for Equipment, Movement pattern, Primary muscle and Prescription profile as the rows above, or the workout sheets won't find them.</t>
  </si>
  <si>
    <t xml:space="preserve">ID</t>
  </si>
  <si>
    <t xml:space="preserve">Exercise</t>
  </si>
  <si>
    <t xml:space="preserve">Övning (SV)</t>
  </si>
  <si>
    <t xml:space="preserve">Equipment</t>
  </si>
  <si>
    <t xml:space="preserve">Movement pattern</t>
  </si>
  <si>
    <t xml:space="preserve">Primary muscle</t>
  </si>
  <si>
    <t xml:space="preserve">Secondary muscles</t>
  </si>
  <si>
    <t xml:space="preserve">Prescription profile</t>
  </si>
  <si>
    <t xml:space="preserve">Cue / note</t>
  </si>
  <si>
    <t xml:space="preserve">Your 1RM (kg)</t>
  </si>
  <si>
    <t xml:space="preserve">Back Squat</t>
  </si>
  <si>
    <t xml:space="preserve">Knäböj</t>
  </si>
  <si>
    <t xml:space="preserve">Barbell</t>
  </si>
  <si>
    <t xml:space="preserve">Squat</t>
  </si>
  <si>
    <t xml:space="preserve">Quads</t>
  </si>
  <si>
    <t xml:space="preserve">Glutes, Hamstrings, Core</t>
  </si>
  <si>
    <t xml:space="preserve">Heavy compound</t>
  </si>
  <si>
    <t xml:space="preserve">Brace before you unrack; knees track over toes.  [1RM = example value, replace it]</t>
  </si>
  <si>
    <t xml:space="preserve">Front Squat</t>
  </si>
  <si>
    <t xml:space="preserve">Frontböj</t>
  </si>
  <si>
    <t xml:space="preserve">Core, Glutes, Back</t>
  </si>
  <si>
    <t xml:space="preserve">Elbows high; upright torso.</t>
  </si>
  <si>
    <t xml:space="preserve">Pause Squat</t>
  </si>
  <si>
    <t xml:space="preserve">Pausknäböj</t>
  </si>
  <si>
    <t xml:space="preserve">Glutes, Core</t>
  </si>
  <si>
    <t xml:space="preserve">2–3 s pause in the hole, stay tight.</t>
  </si>
  <si>
    <t xml:space="preserve">Box Squat</t>
  </si>
  <si>
    <t xml:space="preserve">Boxknäböj</t>
  </si>
  <si>
    <t xml:space="preserve">Glutes, Hamstrings</t>
  </si>
  <si>
    <t xml:space="preserve">Sit back to the box, don't relax on it.</t>
  </si>
  <si>
    <t xml:space="preserve">Overhead Squat</t>
  </si>
  <si>
    <t xml:space="preserve">Överhuvudböj</t>
  </si>
  <si>
    <t xml:space="preserve">Shoulders, Core, Back</t>
  </si>
  <si>
    <t xml:space="preserve">Compound</t>
  </si>
  <si>
    <t xml:space="preserve">Mobility-limited for most; start with a stick.</t>
  </si>
  <si>
    <t xml:space="preserve">Zercher Squat</t>
  </si>
  <si>
    <t xml:space="preserve">Zercherböj</t>
  </si>
  <si>
    <t xml:space="preserve">Core, Back, Biceps</t>
  </si>
  <si>
    <t xml:space="preserve">Bar in elbow crease; use a towel for comfort.</t>
  </si>
  <si>
    <t xml:space="preserve">Safety Bar Squat</t>
  </si>
  <si>
    <t xml:space="preserve">Knäböj med safety bar</t>
  </si>
  <si>
    <t xml:space="preserve">Glutes, Back</t>
  </si>
  <si>
    <t xml:space="preserve">Shoulder-friendly squat variation.</t>
  </si>
  <si>
    <t xml:space="preserve">Goblet Squat</t>
  </si>
  <si>
    <t xml:space="preserve">Gobletböj</t>
  </si>
  <si>
    <t xml:space="preserve">Dumbbell/Kettlebell</t>
  </si>
  <si>
    <t xml:space="preserve">Great teaching tool and warm-up.</t>
  </si>
  <si>
    <t xml:space="preserve">Hack Squat (Machine)</t>
  </si>
  <si>
    <t xml:space="preserve">Hackböj i maskin</t>
  </si>
  <si>
    <t xml:space="preserve">Machine</t>
  </si>
  <si>
    <t xml:space="preserve">Glutes</t>
  </si>
  <si>
    <t xml:space="preserve">Fixed path; heavy quad emphasis.</t>
  </si>
  <si>
    <t xml:space="preserve">Leg Press</t>
  </si>
  <si>
    <t xml:space="preserve">Benpress</t>
  </si>
  <si>
    <t xml:space="preserve">Don't let the lower back round at the bottom.</t>
  </si>
  <si>
    <t xml:space="preserve">Belt Squat</t>
  </si>
  <si>
    <t xml:space="preserve">Bältesböj</t>
  </si>
  <si>
    <t xml:space="preserve">Loads the legs without loading the spine.</t>
  </si>
  <si>
    <t xml:space="preserve">Bodyweight Squat</t>
  </si>
  <si>
    <t xml:space="preserve">Kroppsviktsböj</t>
  </si>
  <si>
    <t xml:space="preserve">Bodyweight</t>
  </si>
  <si>
    <t xml:space="preserve">Warm-up and endurance staple.</t>
  </si>
  <si>
    <t xml:space="preserve">Pistol Squat</t>
  </si>
  <si>
    <t xml:space="preserve">Pistolböj</t>
  </si>
  <si>
    <t xml:space="preserve">Assist with a band or counterweight to learn.</t>
  </si>
  <si>
    <t xml:space="preserve">Wall Sit</t>
  </si>
  <si>
    <t xml:space="preserve">Väggsittning</t>
  </si>
  <si>
    <t xml:space="preserve">Core</t>
  </si>
  <si>
    <t xml:space="preserve">Isometric; time-based.</t>
  </si>
  <si>
    <t xml:space="preserve">Conventional Deadlift</t>
  </si>
  <si>
    <t xml:space="preserve">Marklyft</t>
  </si>
  <si>
    <t xml:space="preserve">Hinge</t>
  </si>
  <si>
    <t xml:space="preserve">Hamstrings</t>
  </si>
  <si>
    <t xml:space="preserve">Glutes, Back, Core</t>
  </si>
  <si>
    <t xml:space="preserve">Set the lats, push the floor away.</t>
  </si>
  <si>
    <t xml:space="preserve">Sumo Deadlift</t>
  </si>
  <si>
    <t xml:space="preserve">Sumomarklyft</t>
  </si>
  <si>
    <t xml:space="preserve">Quads, Hamstrings, Back</t>
  </si>
  <si>
    <t xml:space="preserve">Wide stance, knees out, vertical torso.</t>
  </si>
  <si>
    <t xml:space="preserve">Romanian Deadlift</t>
  </si>
  <si>
    <t xml:space="preserve">Rumänsk marklyft</t>
  </si>
  <si>
    <t xml:space="preserve">Push hips back; stop when the back wants to round.</t>
  </si>
  <si>
    <t xml:space="preserve">Stiff-Leg Deadlift</t>
  </si>
  <si>
    <t xml:space="preserve">Raka marklyft</t>
  </si>
  <si>
    <t xml:space="preserve">Longer range than RDL; go lighter.</t>
  </si>
  <si>
    <t xml:space="preserve">Deficit Deadlift</t>
  </si>
  <si>
    <t xml:space="preserve">Deficitmarklyft</t>
  </si>
  <si>
    <t xml:space="preserve">Glutes, Back, Quads</t>
  </si>
  <si>
    <t xml:space="preserve">Stand on 2–5 cm; builds the start position.</t>
  </si>
  <si>
    <t xml:space="preserve">Rack Pull</t>
  </si>
  <si>
    <t xml:space="preserve">Rackdrag</t>
  </si>
  <si>
    <t xml:space="preserve">Back</t>
  </si>
  <si>
    <t xml:space="preserve">Glutes, Hamstrings, Traps</t>
  </si>
  <si>
    <t xml:space="preserve">Partial range; overloads the lockout.</t>
  </si>
  <si>
    <t xml:space="preserve">Trap Bar Deadlift</t>
  </si>
  <si>
    <t xml:space="preserve">Marklyft med trapbar</t>
  </si>
  <si>
    <t xml:space="preserve">Glutes, Hamstrings, Back</t>
  </si>
  <si>
    <t xml:space="preserve">More quad, less shear than conventional.</t>
  </si>
  <si>
    <t xml:space="preserve">Good Morning</t>
  </si>
  <si>
    <t xml:space="preserve">Good morning</t>
  </si>
  <si>
    <t xml:space="preserve">Start very light; hinge, don't squat.</t>
  </si>
  <si>
    <t xml:space="preserve">Barbell Hip Thrust</t>
  </si>
  <si>
    <t xml:space="preserve">Höftlyft med skivstång</t>
  </si>
  <si>
    <t xml:space="preserve">Hamstrings, Core</t>
  </si>
  <si>
    <t xml:space="preserve">Chin tucked, ribs down, squeeze at the top.</t>
  </si>
  <si>
    <t xml:space="preserve">Glute Bridge</t>
  </si>
  <si>
    <t xml:space="preserve">Bäckenlyft</t>
  </si>
  <si>
    <t xml:space="preserve">Floor version of the hip thrust.</t>
  </si>
  <si>
    <t xml:space="preserve">Single-Leg RDL</t>
  </si>
  <si>
    <t xml:space="preserve">Enbens rumänsk marklyft</t>
  </si>
  <si>
    <t xml:space="preserve">Hips square; balance is part of the work.</t>
  </si>
  <si>
    <t xml:space="preserve">Kettlebell Deadlift</t>
  </si>
  <si>
    <t xml:space="preserve">Kettlebell marklyft</t>
  </si>
  <si>
    <t xml:space="preserve">Good entry point to the hinge pattern.</t>
  </si>
  <si>
    <t xml:space="preserve">Kettlebell Swing</t>
  </si>
  <si>
    <t xml:space="preserve">Kettlebell swing</t>
  </si>
  <si>
    <t xml:space="preserve">Olympic/Explosive</t>
  </si>
  <si>
    <t xml:space="preserve">Hamstrings, Core, Back</t>
  </si>
  <si>
    <t xml:space="preserve">Olympic lift</t>
  </si>
  <si>
    <t xml:space="preserve">Hip snap, not a front raise.</t>
  </si>
  <si>
    <t xml:space="preserve">Back Extension (45°)</t>
  </si>
  <si>
    <t xml:space="preserve">Ryggresning 45°</t>
  </si>
  <si>
    <t xml:space="preserve">Hamstrings, Back</t>
  </si>
  <si>
    <t xml:space="preserve">Isolation</t>
  </si>
  <si>
    <t xml:space="preserve">Round or neutral spine depending on target.</t>
  </si>
  <si>
    <t xml:space="preserve">Nordic Hamstring Curl</t>
  </si>
  <si>
    <t xml:space="preserve">Nordisk hamstringcurl</t>
  </si>
  <si>
    <t xml:space="preserve">Very high eccentric load; start with a band.</t>
  </si>
  <si>
    <t xml:space="preserve">Cable Pull-Through</t>
  </si>
  <si>
    <t xml:space="preserve">Kabeldrag mellan benen</t>
  </si>
  <si>
    <t xml:space="preserve">Cable</t>
  </si>
  <si>
    <t xml:space="preserve">Hinge pattern with constant tension.</t>
  </si>
  <si>
    <t xml:space="preserve">Walking Lunge</t>
  </si>
  <si>
    <t xml:space="preserve">Gående utfall</t>
  </si>
  <si>
    <t xml:space="preserve">Lunge/Single-leg</t>
  </si>
  <si>
    <t xml:space="preserve">Long step for glutes, short step for quads.</t>
  </si>
  <si>
    <t xml:space="preserve">Reverse Lunge</t>
  </si>
  <si>
    <t xml:space="preserve">Bakåtutfall</t>
  </si>
  <si>
    <t xml:space="preserve">Quads, Hamstrings</t>
  </si>
  <si>
    <t xml:space="preserve">Knee-friendlier than forward lunges.</t>
  </si>
  <si>
    <t xml:space="preserve">Bulgarian Split Squat</t>
  </si>
  <si>
    <t xml:space="preserve">Bulgarisk split squat</t>
  </si>
  <si>
    <t xml:space="preserve">Brutal with modest load; count reps per leg.</t>
  </si>
  <si>
    <t xml:space="preserve">Barbell Split Squat</t>
  </si>
  <si>
    <t xml:space="preserve">Split squat med skivstång</t>
  </si>
  <si>
    <t xml:space="preserve">Loadable single-leg strength builder.</t>
  </si>
  <si>
    <t xml:space="preserve">Step-Up</t>
  </si>
  <si>
    <t xml:space="preserve">Uppsteg</t>
  </si>
  <si>
    <t xml:space="preserve">Don't push off the trailing leg.</t>
  </si>
  <si>
    <t xml:space="preserve">Lateral Lunge</t>
  </si>
  <si>
    <t xml:space="preserve">Sidoutfall</t>
  </si>
  <si>
    <t xml:space="preserve">Adductors</t>
  </si>
  <si>
    <t xml:space="preserve">Quads, Glutes</t>
  </si>
  <si>
    <t xml:space="preserve">Frontal-plane work; good for skiing/skating.</t>
  </si>
  <si>
    <t xml:space="preserve">Curtsy Lunge</t>
  </si>
  <si>
    <t xml:space="preserve">Curtsyutfall</t>
  </si>
  <si>
    <t xml:space="preserve">Quads, Adductors</t>
  </si>
  <si>
    <t xml:space="preserve">Emphasises glute medius.</t>
  </si>
  <si>
    <t xml:space="preserve">Sissy Squat</t>
  </si>
  <si>
    <t xml:space="preserve">Sissy squat</t>
  </si>
  <si>
    <t xml:space="preserve">Knee-dominant; build up gradually.</t>
  </si>
  <si>
    <t xml:space="preserve">Barbell Bench Press</t>
  </si>
  <si>
    <t xml:space="preserve">Bänkpress</t>
  </si>
  <si>
    <t xml:space="preserve">Horizontal push</t>
  </si>
  <si>
    <t xml:space="preserve">Chest</t>
  </si>
  <si>
    <t xml:space="preserve">Triceps, Shoulders</t>
  </si>
  <si>
    <t xml:space="preserve">Feet planted, shoulder blades retracted.</t>
  </si>
  <si>
    <t xml:space="preserve">Incline Bench Press</t>
  </si>
  <si>
    <t xml:space="preserve">Lutande bänkpress</t>
  </si>
  <si>
    <t xml:space="preserve">Shoulders, Triceps</t>
  </si>
  <si>
    <t xml:space="preserve">30–45° targets the upper chest.</t>
  </si>
  <si>
    <t xml:space="preserve">Decline Bench Press</t>
  </si>
  <si>
    <t xml:space="preserve">Nedåtlutande bänkpress</t>
  </si>
  <si>
    <t xml:space="preserve">Triceps</t>
  </si>
  <si>
    <t xml:space="preserve">Lower-chest emphasis, shoulder-friendly.</t>
  </si>
  <si>
    <t xml:space="preserve">Close-Grip Bench Press</t>
  </si>
  <si>
    <t xml:space="preserve">Bänkpress smalt grepp</t>
  </si>
  <si>
    <t xml:space="preserve">Chest, Shoulders</t>
  </si>
  <si>
    <t xml:space="preserve">Grip just inside shoulder width.</t>
  </si>
  <si>
    <t xml:space="preserve">Floor Press</t>
  </si>
  <si>
    <t xml:space="preserve">Golvpress</t>
  </si>
  <si>
    <t xml:space="preserve">Limits range; easy on the shoulders.</t>
  </si>
  <si>
    <t xml:space="preserve">Spoto Press</t>
  </si>
  <si>
    <t xml:space="preserve">Spotopress</t>
  </si>
  <si>
    <t xml:space="preserve">Pause 2 cm off the chest.</t>
  </si>
  <si>
    <t xml:space="preserve">Dumbbell Bench Press</t>
  </si>
  <si>
    <t xml:space="preserve">Hantelpress</t>
  </si>
  <si>
    <t xml:space="preserve">Larger range, evens out side-to-side.</t>
  </si>
  <si>
    <t xml:space="preserve">Incline Dumbbell Press</t>
  </si>
  <si>
    <t xml:space="preserve">Lutande hantelpress</t>
  </si>
  <si>
    <t xml:space="preserve">Upper-chest builder.</t>
  </si>
  <si>
    <t xml:space="preserve">Machine Chest Press</t>
  </si>
  <si>
    <t xml:space="preserve">Bröstpress i maskin</t>
  </si>
  <si>
    <t xml:space="preserve">Safe to push close to failure.</t>
  </si>
  <si>
    <t xml:space="preserve">Push-Up</t>
  </si>
  <si>
    <t xml:space="preserve">Armhävning</t>
  </si>
  <si>
    <t xml:space="preserve">Triceps, Core</t>
  </si>
  <si>
    <t xml:space="preserve">Body in one line; elbows ~45°.</t>
  </si>
  <si>
    <t xml:space="preserve">Deficit Push-Up</t>
  </si>
  <si>
    <t xml:space="preserve">Armhävning med deficit</t>
  </si>
  <si>
    <t xml:space="preserve">Hands elevated for extra range.</t>
  </si>
  <si>
    <t xml:space="preserve">Ring Push-Up</t>
  </si>
  <si>
    <t xml:space="preserve">Armhävning i ringar</t>
  </si>
  <si>
    <t xml:space="preserve">Bodyweight/Rings</t>
  </si>
  <si>
    <t xml:space="preserve">Unstable; adds a big stability demand.</t>
  </si>
  <si>
    <t xml:space="preserve">Dip</t>
  </si>
  <si>
    <t xml:space="preserve">Dips</t>
  </si>
  <si>
    <t xml:space="preserve">Lean forward for chest, upright for triceps.</t>
  </si>
  <si>
    <t xml:space="preserve">Ring Dip</t>
  </si>
  <si>
    <t xml:space="preserve">Dips i ringar</t>
  </si>
  <si>
    <t xml:space="preserve">Turn the rings out at lockout.</t>
  </si>
  <si>
    <t xml:space="preserve">Cable Chest Fly</t>
  </si>
  <si>
    <t xml:space="preserve">Kabelflyes</t>
  </si>
  <si>
    <t xml:space="preserve">Shoulders</t>
  </si>
  <si>
    <t xml:space="preserve">Constant tension; slight elbow bend.</t>
  </si>
  <si>
    <t xml:space="preserve">Dumbbell Fly</t>
  </si>
  <si>
    <t xml:space="preserve">Hantelflyes</t>
  </si>
  <si>
    <t xml:space="preserve">Control the stretch; don't go too heavy.</t>
  </si>
  <si>
    <t xml:space="preserve">Pec Deck</t>
  </si>
  <si>
    <t xml:space="preserve">Pec deck</t>
  </si>
  <si>
    <t xml:space="preserve">Easy to overload safely.</t>
  </si>
  <si>
    <t xml:space="preserve">Band Chest Press</t>
  </si>
  <si>
    <t xml:space="preserve">Bandpress</t>
  </si>
  <si>
    <t xml:space="preserve">Bands</t>
  </si>
  <si>
    <t xml:space="preserve">Travel-friendly; tension peaks at lockout.</t>
  </si>
  <si>
    <t xml:space="preserve">Overhead Press</t>
  </si>
  <si>
    <t xml:space="preserve">Militärpress</t>
  </si>
  <si>
    <t xml:space="preserve">Vertical push</t>
  </si>
  <si>
    <t xml:space="preserve">Squeeze glutes, don't lean back.</t>
  </si>
  <si>
    <t xml:space="preserve">Push Press</t>
  </si>
  <si>
    <t xml:space="preserve">Push press</t>
  </si>
  <si>
    <t xml:space="preserve">Triceps, Quads, Core</t>
  </si>
  <si>
    <t xml:space="preserve">Short dip, violent drive, lock overhead.</t>
  </si>
  <si>
    <t xml:space="preserve">Push Jerk</t>
  </si>
  <si>
    <t xml:space="preserve">Push jerk</t>
  </si>
  <si>
    <t xml:space="preserve">Triceps, Quads</t>
  </si>
  <si>
    <t xml:space="preserve">Re-dip under the bar to receive it.</t>
  </si>
  <si>
    <t xml:space="preserve">Seated Dumbbell Press</t>
  </si>
  <si>
    <t xml:space="preserve">Sittande hantelpress</t>
  </si>
  <si>
    <t xml:space="preserve">Back supported; strict form.</t>
  </si>
  <si>
    <t xml:space="preserve">Standing Dumbbell Press</t>
  </si>
  <si>
    <t xml:space="preserve">Stående hantelpress</t>
  </si>
  <si>
    <t xml:space="preserve">Core has to work to stay stacked.</t>
  </si>
  <si>
    <t xml:space="preserve">Arnold Press</t>
  </si>
  <si>
    <t xml:space="preserve">Arnoldpress</t>
  </si>
  <si>
    <t xml:space="preserve">Rotate through the press.</t>
  </si>
  <si>
    <t xml:space="preserve">Machine Shoulder Press</t>
  </si>
  <si>
    <t xml:space="preserve">Axelpress i maskin</t>
  </si>
  <si>
    <t xml:space="preserve">Fixed path; good for high-rep work.</t>
  </si>
  <si>
    <t xml:space="preserve">Single-Arm Kettlebell Press</t>
  </si>
  <si>
    <t xml:space="preserve">Enarms kettlebellpress</t>
  </si>
  <si>
    <t xml:space="preserve">Anti-lateral-flexion demand on the core.</t>
  </si>
  <si>
    <t xml:space="preserve">Landmine Press</t>
  </si>
  <si>
    <t xml:space="preserve">Landminepress</t>
  </si>
  <si>
    <t xml:space="preserve">Chest, Core</t>
  </si>
  <si>
    <t xml:space="preserve">Shoulder-friendly pressing angle.</t>
  </si>
  <si>
    <t xml:space="preserve">Handstand Push-Up</t>
  </si>
  <si>
    <t xml:space="preserve">Handstående armhävning</t>
  </si>
  <si>
    <t xml:space="preserve">Scale with pike push-ups on a box.</t>
  </si>
  <si>
    <t xml:space="preserve">Z-Press</t>
  </si>
  <si>
    <t xml:space="preserve">Z-press</t>
  </si>
  <si>
    <t xml:space="preserve">Core, Triceps</t>
  </si>
  <si>
    <t xml:space="preserve">Seated on the floor, legs straight.</t>
  </si>
  <si>
    <t xml:space="preserve">Barbell Row</t>
  </si>
  <si>
    <t xml:space="preserve">Skivstångsrodd</t>
  </si>
  <si>
    <t xml:space="preserve">Horizontal pull</t>
  </si>
  <si>
    <t xml:space="preserve">Biceps, Traps, Core</t>
  </si>
  <si>
    <t xml:space="preserve">Torso ~45°; pull to the navel.</t>
  </si>
  <si>
    <t xml:space="preserve">Pendlay Row</t>
  </si>
  <si>
    <t xml:space="preserve">Pendlayrodd</t>
  </si>
  <si>
    <t xml:space="preserve">Biceps, Traps</t>
  </si>
  <si>
    <t xml:space="preserve">Dead stop each rep; explosive pull.</t>
  </si>
  <si>
    <t xml:space="preserve">Dumbbell Row</t>
  </si>
  <si>
    <t xml:space="preserve">Hantelrodd</t>
  </si>
  <si>
    <t xml:space="preserve">Drive the elbow back, not up.</t>
  </si>
  <si>
    <t xml:space="preserve">Chest-Supported Row</t>
  </si>
  <si>
    <t xml:space="preserve">Bröststödd rodd</t>
  </si>
  <si>
    <t xml:space="preserve">Removes the lower back from the equation.</t>
  </si>
  <si>
    <t xml:space="preserve">Seated Cable Row</t>
  </si>
  <si>
    <t xml:space="preserve">Sittande kabelrodd</t>
  </si>
  <si>
    <t xml:space="preserve">Keep the torso still; no rowing rhythm.</t>
  </si>
  <si>
    <t xml:space="preserve">T-Bar Row</t>
  </si>
  <si>
    <t xml:space="preserve">T-bar rodd</t>
  </si>
  <si>
    <t xml:space="preserve">Heavy mid-back loading.</t>
  </si>
  <si>
    <t xml:space="preserve">Meadows Row</t>
  </si>
  <si>
    <t xml:space="preserve">Meadowsrodd</t>
  </si>
  <si>
    <t xml:space="preserve">Landmine, staggered stance, one arm.</t>
  </si>
  <si>
    <t xml:space="preserve">Inverted Row</t>
  </si>
  <si>
    <t xml:space="preserve">Australisk rodd</t>
  </si>
  <si>
    <t xml:space="preserve">Biceps, Core</t>
  </si>
  <si>
    <t xml:space="preserve">Adjust bar height to change difficulty.</t>
  </si>
  <si>
    <t xml:space="preserve">Ring Row</t>
  </si>
  <si>
    <t xml:space="preserve">Ringrodd</t>
  </si>
  <si>
    <t xml:space="preserve">Great pull-up progression.</t>
  </si>
  <si>
    <t xml:space="preserve">Machine Row</t>
  </si>
  <si>
    <t xml:space="preserve">Rodd i maskin</t>
  </si>
  <si>
    <t xml:space="preserve">Consistent loading, easy to progress.</t>
  </si>
  <si>
    <t xml:space="preserve">Face Pull</t>
  </si>
  <si>
    <t xml:space="preserve">Face pull</t>
  </si>
  <si>
    <t xml:space="preserve">Back, Traps</t>
  </si>
  <si>
    <t xml:space="preserve">Rear delts and cuff; high reps work best.</t>
  </si>
  <si>
    <t xml:space="preserve">Reverse Fly</t>
  </si>
  <si>
    <t xml:space="preserve">Omvända flyes</t>
  </si>
  <si>
    <t xml:space="preserve">Light weight, pause at the top.</t>
  </si>
  <si>
    <t xml:space="preserve">Band Pull-Apart</t>
  </si>
  <si>
    <t xml:space="preserve">Band pull-apart</t>
  </si>
  <si>
    <t xml:space="preserve">Perfect warm-up filler between press sets.</t>
  </si>
  <si>
    <t xml:space="preserve">Pull-Up</t>
  </si>
  <si>
    <t xml:space="preserve">Chins (pronerat grepp)</t>
  </si>
  <si>
    <t xml:space="preserve">Vertical pull</t>
  </si>
  <si>
    <t xml:space="preserve">Chest to bar; avoid excessive kipping.</t>
  </si>
  <si>
    <t xml:space="preserve">Chin-Up</t>
  </si>
  <si>
    <t xml:space="preserve">Chins (supinerat grepp)</t>
  </si>
  <si>
    <t xml:space="preserve">Biceps</t>
  </si>
  <si>
    <t xml:space="preserve">More biceps than the pull-up.</t>
  </si>
  <si>
    <t xml:space="preserve">Weighted Pull-Up</t>
  </si>
  <si>
    <t xml:space="preserve">Viktade chins</t>
  </si>
  <si>
    <t xml:space="preserve">Add load once you clear 8–10 clean reps.</t>
  </si>
  <si>
    <t xml:space="preserve">Neutral-Grip Pull-Up</t>
  </si>
  <si>
    <t xml:space="preserve">Chins neutralt grepp</t>
  </si>
  <si>
    <t xml:space="preserve">Usually the most shoulder-friendly grip.</t>
  </si>
  <si>
    <t xml:space="preserve">Lat Pulldown</t>
  </si>
  <si>
    <t xml:space="preserve">Latsdrag</t>
  </si>
  <si>
    <t xml:space="preserve">Scalable substitute for pull-ups.</t>
  </si>
  <si>
    <t xml:space="preserve">Neutral-Grip Pulldown</t>
  </si>
  <si>
    <t xml:space="preserve">Latsdrag neutralt grepp</t>
  </si>
  <si>
    <t xml:space="preserve">Slightly more mid-back involvement.</t>
  </si>
  <si>
    <t xml:space="preserve">Straight-Arm Pulldown</t>
  </si>
  <si>
    <t xml:space="preserve">Latsdrag raka armar</t>
  </si>
  <si>
    <t xml:space="preserve">Isolates the lats without elbow flexion.</t>
  </si>
  <si>
    <t xml:space="preserve">Muscle-Up</t>
  </si>
  <si>
    <t xml:space="preserve">Muscle-up</t>
  </si>
  <si>
    <t xml:space="preserve">Chest, Triceps, Core</t>
  </si>
  <si>
    <t xml:space="preserve">Explosive pull plus a fast transition.</t>
  </si>
  <si>
    <t xml:space="preserve">Band-Assisted Pull-Up</t>
  </si>
  <si>
    <t xml:space="preserve">Chins med band</t>
  </si>
  <si>
    <t xml:space="preserve">Band assists most at the bottom.</t>
  </si>
  <si>
    <t xml:space="preserve">Power Clean</t>
  </si>
  <si>
    <t xml:space="preserve">Frivändning (power)</t>
  </si>
  <si>
    <t xml:space="preserve">Full body</t>
  </si>
  <si>
    <t xml:space="preserve">Glutes, Traps, Quads</t>
  </si>
  <si>
    <t xml:space="preserve">Bar close, extend fully, then pull under.</t>
  </si>
  <si>
    <t xml:space="preserve">Hang Clean</t>
  </si>
  <si>
    <t xml:space="preserve">Hängfrivändning</t>
  </si>
  <si>
    <t xml:space="preserve">Traps, Glutes, Quads</t>
  </si>
  <si>
    <t xml:space="preserve">Starts above the knee; teaches the second pull.</t>
  </si>
  <si>
    <t xml:space="preserve">Clean &amp; Jerk</t>
  </si>
  <si>
    <t xml:space="preserve">Frivändning med stöt</t>
  </si>
  <si>
    <t xml:space="preserve">Shoulders, Quads, Glutes</t>
  </si>
  <si>
    <t xml:space="preserve">Full lift; technical, coach it.</t>
  </si>
  <si>
    <t xml:space="preserve">Power Snatch</t>
  </si>
  <si>
    <t xml:space="preserve">Ryck (power)</t>
  </si>
  <si>
    <t xml:space="preserve">Shoulders, Traps, Glutes</t>
  </si>
  <si>
    <t xml:space="preserve">Wide grip, high demand on technique and mobility.</t>
  </si>
  <si>
    <t xml:space="preserve">Hang Snatch</t>
  </si>
  <si>
    <t xml:space="preserve">Hängryck</t>
  </si>
  <si>
    <t xml:space="preserve">Warm up thoroughly before loading.</t>
  </si>
  <si>
    <t xml:space="preserve">Clean Pull</t>
  </si>
  <si>
    <t xml:space="preserve">Frivändningsdrag</t>
  </si>
  <si>
    <t xml:space="preserve">Traps</t>
  </si>
  <si>
    <t xml:space="preserve">Full extension, no catch.</t>
  </si>
  <si>
    <t xml:space="preserve">Snatch Pull</t>
  </si>
  <si>
    <t xml:space="preserve">Ryckdrag</t>
  </si>
  <si>
    <t xml:space="preserve">Wide grip pull; heavier than the snatch.</t>
  </si>
  <si>
    <t xml:space="preserve">High Pull</t>
  </si>
  <si>
    <t xml:space="preserve">Högt drag</t>
  </si>
  <si>
    <t xml:space="preserve">Shoulders, Back</t>
  </si>
  <si>
    <t xml:space="preserve">Elbows high and outside.</t>
  </si>
  <si>
    <t xml:space="preserve">Dumbbell Snatch</t>
  </si>
  <si>
    <t xml:space="preserve">Hantelryck</t>
  </si>
  <si>
    <t xml:space="preserve">Shoulders, Glutes</t>
  </si>
  <si>
    <t xml:space="preserve">Simplest way to train power unilaterally.</t>
  </si>
  <si>
    <t xml:space="preserve">Kettlebell Clean</t>
  </si>
  <si>
    <t xml:space="preserve">Kettlebell frivändning</t>
  </si>
  <si>
    <t xml:space="preserve">Glutes, Traps</t>
  </si>
  <si>
    <t xml:space="preserve">Guide the bell, don't let it flip onto the wrist.</t>
  </si>
  <si>
    <t xml:space="preserve">Kettlebell Snatch</t>
  </si>
  <si>
    <t xml:space="preserve">Kettlebell ryck</t>
  </si>
  <si>
    <t xml:space="preserve">Punch through at the top.</t>
  </si>
  <si>
    <t xml:space="preserve">Thruster</t>
  </si>
  <si>
    <t xml:space="preserve">Shoulders, Quads, Core</t>
  </si>
  <si>
    <t xml:space="preserve">Front squat straight into a press.</t>
  </si>
  <si>
    <t xml:space="preserve">Box Jump</t>
  </si>
  <si>
    <t xml:space="preserve">Boxhopp</t>
  </si>
  <si>
    <t xml:space="preserve">Plyometric</t>
  </si>
  <si>
    <t xml:space="preserve">Glutes, Calves</t>
  </si>
  <si>
    <t xml:space="preserve">Step down; don't rebound off the box.</t>
  </si>
  <si>
    <t xml:space="preserve">Broad Jump</t>
  </si>
  <si>
    <t xml:space="preserve">Stående längdhopp</t>
  </si>
  <si>
    <t xml:space="preserve">Measure distance to track progress.</t>
  </si>
  <si>
    <t xml:space="preserve">Depth Jump</t>
  </si>
  <si>
    <t xml:space="preserve">Nedhopp</t>
  </si>
  <si>
    <t xml:space="preserve">Advanced; short ground contact is the point.</t>
  </si>
  <si>
    <t xml:space="preserve">Jump Squat</t>
  </si>
  <si>
    <t xml:space="preserve">Hoppknäböj</t>
  </si>
  <si>
    <t xml:space="preserve">Bodyweight or very light load only.</t>
  </si>
  <si>
    <t xml:space="preserve">Clap Push-Up</t>
  </si>
  <si>
    <t xml:space="preserve">Klappande armhävning</t>
  </si>
  <si>
    <t xml:space="preserve">Upper-body power; land with soft elbows.</t>
  </si>
  <si>
    <t xml:space="preserve">Bounding</t>
  </si>
  <si>
    <t xml:space="preserve">Skutthopp</t>
  </si>
  <si>
    <t xml:space="preserve">Quads, Calves</t>
  </si>
  <si>
    <t xml:space="preserve">Cover distance in as few strides as possible.</t>
  </si>
  <si>
    <t xml:space="preserve">Lateral Bound</t>
  </si>
  <si>
    <t xml:space="preserve">Sidohopp</t>
  </si>
  <si>
    <t xml:space="preserve">Stick the landing before the next rep.</t>
  </si>
  <si>
    <t xml:space="preserve">Pogo Hop</t>
  </si>
  <si>
    <t xml:space="preserve">Pogohopp</t>
  </si>
  <si>
    <t xml:space="preserve">Calves</t>
  </si>
  <si>
    <t xml:space="preserve">Stiff ankles, minimal knee bend.</t>
  </si>
  <si>
    <t xml:space="preserve">Medicine Ball Slam</t>
  </si>
  <si>
    <t xml:space="preserve">Medicinbollsslam</t>
  </si>
  <si>
    <t xml:space="preserve">Back, Shoulders</t>
  </si>
  <si>
    <t xml:space="preserve">Full-body follow-through.</t>
  </si>
  <si>
    <t xml:space="preserve">Rotational Med Ball Throw</t>
  </si>
  <si>
    <t xml:space="preserve">Roterande medicinbollskast</t>
  </si>
  <si>
    <t xml:space="preserve">Power through the hips, not the arms.</t>
  </si>
  <si>
    <t xml:space="preserve">Broad Jump to Box</t>
  </si>
  <si>
    <t xml:space="preserve">Längdhopp till box</t>
  </si>
  <si>
    <t xml:space="preserve">Horizontal into vertical power.</t>
  </si>
  <si>
    <t xml:space="preserve">Plank</t>
  </si>
  <si>
    <t xml:space="preserve">Planka</t>
  </si>
  <si>
    <t xml:space="preserve">Core/Anti-movement</t>
  </si>
  <si>
    <t xml:space="preserve">Ribs down, glutes on. Quality beats duration.</t>
  </si>
  <si>
    <t xml:space="preserve">Side Plank</t>
  </si>
  <si>
    <t xml:space="preserve">Sidoplanka</t>
  </si>
  <si>
    <t xml:space="preserve">Anti-lateral flexion.</t>
  </si>
  <si>
    <t xml:space="preserve">Pallof Press</t>
  </si>
  <si>
    <t xml:space="preserve">Pallofpress</t>
  </si>
  <si>
    <t xml:space="preserve">Anti-rotation; resist the pull.</t>
  </si>
  <si>
    <t xml:space="preserve">Dead Bug</t>
  </si>
  <si>
    <t xml:space="preserve">Dead bug</t>
  </si>
  <si>
    <t xml:space="preserve">Lower back stays flat on the floor.</t>
  </si>
  <si>
    <t xml:space="preserve">Bird Dog</t>
  </si>
  <si>
    <t xml:space="preserve">Bird dog</t>
  </si>
  <si>
    <t xml:space="preserve">Slow and controlled; no hip rotation.</t>
  </si>
  <si>
    <t xml:space="preserve">Hanging Leg Raise</t>
  </si>
  <si>
    <t xml:space="preserve">Hängande benlyft</t>
  </si>
  <si>
    <t xml:space="preserve">Back, Forearms</t>
  </si>
  <si>
    <t xml:space="preserve">Posterior tilt at the top; no swinging.</t>
  </si>
  <si>
    <t xml:space="preserve">Toes to Bar</t>
  </si>
  <si>
    <t xml:space="preserve">Toes to bar</t>
  </si>
  <si>
    <t xml:space="preserve">Controlled kip; keep the shoulders active.</t>
  </si>
  <si>
    <t xml:space="preserve">Ab Wheel Rollout</t>
  </si>
  <si>
    <t xml:space="preserve">Rullhjul</t>
  </si>
  <si>
    <t xml:space="preserve">Anti-extension; go only as far as you can brace.</t>
  </si>
  <si>
    <t xml:space="preserve">Cable Crunch</t>
  </si>
  <si>
    <t xml:space="preserve">Kabelcrunch</t>
  </si>
  <si>
    <t xml:space="preserve">Flex the spine, don't hinge at the hips.</t>
  </si>
  <si>
    <t xml:space="preserve">Russian Twist</t>
  </si>
  <si>
    <t xml:space="preserve">Rysk twist</t>
  </si>
  <si>
    <t xml:space="preserve">Rotate from the trunk, chest follows hands.</t>
  </si>
  <si>
    <t xml:space="preserve">Hollow Body Hold</t>
  </si>
  <si>
    <t xml:space="preserve">Hollow hold</t>
  </si>
  <si>
    <t xml:space="preserve">Lower back pressed down throughout.</t>
  </si>
  <si>
    <t xml:space="preserve">Copenhagen Plank</t>
  </si>
  <si>
    <t xml:space="preserve">Köpenhamnsplanka</t>
  </si>
  <si>
    <t xml:space="preserve">Strong groin/adductor builder; start short.</t>
  </si>
  <si>
    <t xml:space="preserve">Reverse Crunch</t>
  </si>
  <si>
    <t xml:space="preserve">Omvänd crunch</t>
  </si>
  <si>
    <t xml:space="preserve">Curl the pelvis up, don't just swing the legs.</t>
  </si>
  <si>
    <t xml:space="preserve">Landmine Rotation</t>
  </si>
  <si>
    <t xml:space="preserve">Landminerotation</t>
  </si>
  <si>
    <t xml:space="preserve">Let the feet pivot.</t>
  </si>
  <si>
    <t xml:space="preserve">L-Sit</t>
  </si>
  <si>
    <t xml:space="preserve">L-sit</t>
  </si>
  <si>
    <t xml:space="preserve">Push the floor away; depress the shoulders.</t>
  </si>
  <si>
    <t xml:space="preserve">Ring Support Hold</t>
  </si>
  <si>
    <t xml:space="preserve">Stödhäng i ringar</t>
  </si>
  <si>
    <t xml:space="preserve">Rings turned out, arms locked.</t>
  </si>
  <si>
    <t xml:space="preserve">Bear Crawl</t>
  </si>
  <si>
    <t xml:space="preserve">Björngång</t>
  </si>
  <si>
    <t xml:space="preserve">Shoulders, Quads</t>
  </si>
  <si>
    <t xml:space="preserve">Hips low, knees hovering.</t>
  </si>
  <si>
    <t xml:space="preserve">Farmer's Walk</t>
  </si>
  <si>
    <t xml:space="preserve">Farmer's walk</t>
  </si>
  <si>
    <t xml:space="preserve">Carry</t>
  </si>
  <si>
    <t xml:space="preserve">Forearms, Core, Glutes</t>
  </si>
  <si>
    <t xml:space="preserve">Tall posture; grip usually fails first.</t>
  </si>
  <si>
    <t xml:space="preserve">Suitcase Carry</t>
  </si>
  <si>
    <t xml:space="preserve">Resväskebärning</t>
  </si>
  <si>
    <t xml:space="preserve">Traps, Forearms</t>
  </si>
  <si>
    <t xml:space="preserve">Anti-lateral flexion; don't lean.</t>
  </si>
  <si>
    <t xml:space="preserve">Front Rack Carry</t>
  </si>
  <si>
    <t xml:space="preserve">Frontrackbärning</t>
  </si>
  <si>
    <t xml:space="preserve">Elbows up, ribs down.</t>
  </si>
  <si>
    <t xml:space="preserve">Overhead Carry</t>
  </si>
  <si>
    <t xml:space="preserve">Överhuvudbärning</t>
  </si>
  <si>
    <t xml:space="preserve">Core, Traps</t>
  </si>
  <si>
    <t xml:space="preserve">Locked elbows, active shoulders.</t>
  </si>
  <si>
    <t xml:space="preserve">Zercher Carry</t>
  </si>
  <si>
    <t xml:space="preserve">Zercherbärning</t>
  </si>
  <si>
    <t xml:space="preserve">Back, Quads</t>
  </si>
  <si>
    <t xml:space="preserve">Very high trunk demand.</t>
  </si>
  <si>
    <t xml:space="preserve">Sled Push</t>
  </si>
  <si>
    <t xml:space="preserve">Slädpress</t>
  </si>
  <si>
    <t xml:space="preserve">No eccentric — easy to recover from.</t>
  </si>
  <si>
    <t xml:space="preserve">Sled Drag</t>
  </si>
  <si>
    <t xml:space="preserve">Slädsläp</t>
  </si>
  <si>
    <t xml:space="preserve">Glutes, Quads</t>
  </si>
  <si>
    <t xml:space="preserve">Backwards drag is great for the knees.</t>
  </si>
  <si>
    <t xml:space="preserve">Barbell Curl</t>
  </si>
  <si>
    <t xml:space="preserve">Skivstångscurl</t>
  </si>
  <si>
    <t xml:space="preserve">Forearms</t>
  </si>
  <si>
    <t xml:space="preserve">Elbows pinned to the sides.</t>
  </si>
  <si>
    <t xml:space="preserve">Dumbbell Curl</t>
  </si>
  <si>
    <t xml:space="preserve">Hantelcurl</t>
  </si>
  <si>
    <t xml:space="preserve">Supinate as you curl.</t>
  </si>
  <si>
    <t xml:space="preserve">Hammer Curl</t>
  </si>
  <si>
    <t xml:space="preserve">Hammarcurl</t>
  </si>
  <si>
    <t xml:space="preserve">Neutral grip; hits brachialis.</t>
  </si>
  <si>
    <t xml:space="preserve">Preacher Curl</t>
  </si>
  <si>
    <t xml:space="preserve">Scottcurl</t>
  </si>
  <si>
    <t xml:space="preserve">Strong stretch position; control the eccentric.</t>
  </si>
  <si>
    <t xml:space="preserve">Cable Curl</t>
  </si>
  <si>
    <t xml:space="preserve">Kabelcurl</t>
  </si>
  <si>
    <t xml:space="preserve">Constant tension through the range.</t>
  </si>
  <si>
    <t xml:space="preserve">Incline Dumbbell Curl</t>
  </si>
  <si>
    <t xml:space="preserve">Lutande hantelcurl</t>
  </si>
  <si>
    <t xml:space="preserve">Biceps stretched at the bottom.</t>
  </si>
  <si>
    <t xml:space="preserve">Reverse Curl</t>
  </si>
  <si>
    <t xml:space="preserve">Omvänd curl</t>
  </si>
  <si>
    <t xml:space="preserve">Pronated grip; builds forearm mass.</t>
  </si>
  <si>
    <t xml:space="preserve">Triceps Pushdown</t>
  </si>
  <si>
    <t xml:space="preserve">Triceps pushdown</t>
  </si>
  <si>
    <t xml:space="preserve">Elbows still, full lockout.</t>
  </si>
  <si>
    <t xml:space="preserve">Overhead Triceps Extension</t>
  </si>
  <si>
    <t xml:space="preserve">Fransk press</t>
  </si>
  <si>
    <t xml:space="preserve">Stretches the long head.</t>
  </si>
  <si>
    <t xml:space="preserve">Skull Crusher</t>
  </si>
  <si>
    <t xml:space="preserve">Skullcrusher</t>
  </si>
  <si>
    <t xml:space="preserve">Lower behind the head, not to the nose.</t>
  </si>
  <si>
    <t xml:space="preserve">Triceps Kickback</t>
  </si>
  <si>
    <t xml:space="preserve">Triceps kickback</t>
  </si>
  <si>
    <t xml:space="preserve">Light weight, peak contraction.</t>
  </si>
  <si>
    <t xml:space="preserve">Wrist Curl</t>
  </si>
  <si>
    <t xml:space="preserve">Handledscurl</t>
  </si>
  <si>
    <t xml:space="preserve">High reps; grip and forearm health.</t>
  </si>
  <si>
    <t xml:space="preserve">Dead Hang</t>
  </si>
  <si>
    <t xml:space="preserve">Hängning i stång</t>
  </si>
  <si>
    <t xml:space="preserve">Grip and shoulder decompression.</t>
  </si>
  <si>
    <t xml:space="preserve">Lateral Raise</t>
  </si>
  <si>
    <t xml:space="preserve">Sidolyft</t>
  </si>
  <si>
    <t xml:space="preserve">Lead with the elbows; stay light.</t>
  </si>
  <si>
    <t xml:space="preserve">Cable Lateral Raise</t>
  </si>
  <si>
    <t xml:space="preserve">Sidolyft i kabel</t>
  </si>
  <si>
    <t xml:space="preserve">Tension at the bottom too.</t>
  </si>
  <si>
    <t xml:space="preserve">Front Raise</t>
  </si>
  <si>
    <t xml:space="preserve">Framlyft</t>
  </si>
  <si>
    <t xml:space="preserve">Often already covered by pressing.</t>
  </si>
  <si>
    <t xml:space="preserve">Upright Row</t>
  </si>
  <si>
    <t xml:space="preserve">Stående rodd</t>
  </si>
  <si>
    <t xml:space="preserve">Shoulders, Biceps</t>
  </si>
  <si>
    <t xml:space="preserve">Wider grip is friendlier on the shoulders.</t>
  </si>
  <si>
    <t xml:space="preserve">Barbell Shrug</t>
  </si>
  <si>
    <t xml:space="preserve">Shrugs med skivstång</t>
  </si>
  <si>
    <t xml:space="preserve">Straight up and down; pause at the top.</t>
  </si>
  <si>
    <t xml:space="preserve">Dumbbell Shrug</t>
  </si>
  <si>
    <t xml:space="preserve">Shrugs med hantlar</t>
  </si>
  <si>
    <t xml:space="preserve">Greater range than the barbell version.</t>
  </si>
  <si>
    <t xml:space="preserve">External Rotation</t>
  </si>
  <si>
    <t xml:space="preserve">Utåtrotation</t>
  </si>
  <si>
    <t xml:space="preserve">Rotator cuff; light and high rep.</t>
  </si>
  <si>
    <t xml:space="preserve">Band Face Pull</t>
  </si>
  <si>
    <t xml:space="preserve">Face pull med band</t>
  </si>
  <si>
    <t xml:space="preserve">Great daily shoulder health filler.</t>
  </si>
  <si>
    <t xml:space="preserve">Leg Extension</t>
  </si>
  <si>
    <t xml:space="preserve">Benspark</t>
  </si>
  <si>
    <t xml:space="preserve">Pause at lockout for rectus femoris.</t>
  </si>
  <si>
    <t xml:space="preserve">Lying Leg Curl</t>
  </si>
  <si>
    <t xml:space="preserve">Lårcurl liggande</t>
  </si>
  <si>
    <t xml:space="preserve">Hips down; don't lift off the pad.</t>
  </si>
  <si>
    <t xml:space="preserve">Seated Leg Curl</t>
  </si>
  <si>
    <t xml:space="preserve">Lårcurl sittande</t>
  </si>
  <si>
    <t xml:space="preserve">Hamstrings stretched at the hip — strong stimulus.</t>
  </si>
  <si>
    <t xml:space="preserve">Standing Calf Raise</t>
  </si>
  <si>
    <t xml:space="preserve">Stående vadpress</t>
  </si>
  <si>
    <t xml:space="preserve">Full stretch at the bottom, pause at the top.</t>
  </si>
  <si>
    <t xml:space="preserve">Seated Calf Raise</t>
  </si>
  <si>
    <t xml:space="preserve">Sittande vadpress</t>
  </si>
  <si>
    <t xml:space="preserve">Targets soleus with the knee bent.</t>
  </si>
  <si>
    <t xml:space="preserve">Hip Abduction</t>
  </si>
  <si>
    <t xml:space="preserve">Höftabduktion</t>
  </si>
  <si>
    <t xml:space="preserve">Glute medius; lean forward slightly.</t>
  </si>
  <si>
    <t xml:space="preserve">Hip Adduction</t>
  </si>
  <si>
    <t xml:space="preserve">Höftadduktion</t>
  </si>
  <si>
    <t xml:space="preserve">Groin strength; useful for skiing and skating.</t>
  </si>
  <si>
    <t xml:space="preserve">Cable Glute Kickback</t>
  </si>
  <si>
    <t xml:space="preserve">Kabelspark bakåt</t>
  </si>
  <si>
    <t xml:space="preserve">Squeeze at the top, no lumbar extension.</t>
  </si>
  <si>
    <t xml:space="preserve">Banded Monster Walk</t>
  </si>
  <si>
    <t xml:space="preserve">Monster walk med band</t>
  </si>
  <si>
    <t xml:space="preserve">Warm-up staple for hips and knees.</t>
  </si>
  <si>
    <t xml:space="preserve">Tibialis Raise</t>
  </si>
  <si>
    <t xml:space="preserve">Tibialislyft</t>
  </si>
  <si>
    <t xml:space="preserve">Balances the calves; good for runners.</t>
  </si>
  <si>
    <t xml:space="preserve">Trigger decides when a drill appears: 'Always', a movement pattern, or a muscle group. Priority decides what survives a tight time budget — 1 is kept first, 8 is dropped first. Phase order decides the order the drills are listed in once selected.</t>
  </si>
  <si>
    <t xml:space="preserve">Drill</t>
  </si>
  <si>
    <t xml:space="preserve">Phase</t>
  </si>
  <si>
    <t xml:space="preserve">Phase order</t>
  </si>
  <si>
    <t xml:space="preserve">Trigger</t>
  </si>
  <si>
    <t xml:space="preserve">Priority</t>
  </si>
  <si>
    <t xml:space="preserve">Minutes</t>
  </si>
  <si>
    <t xml:space="preserve">How to do it</t>
  </si>
  <si>
    <t xml:space="preserve">Easy cardio</t>
  </si>
  <si>
    <t xml:space="preserve">Lätt konditionsarbete</t>
  </si>
  <si>
    <t xml:space="preserve">1 Raise</t>
  </si>
  <si>
    <t xml:space="preserve">Always</t>
  </si>
  <si>
    <t xml:space="preserve">Bike, row or ski erg at a conversational pace until you break a light sweat.</t>
  </si>
  <si>
    <t xml:space="preserve">Joint circles</t>
  </si>
  <si>
    <t xml:space="preserve">Ledcirklar</t>
  </si>
  <si>
    <t xml:space="preserve">2 Mobilise</t>
  </si>
  <si>
    <t xml:space="preserve">Ankles, hips, thoracic spine, shoulders. 10 slow circles each direction.</t>
  </si>
  <si>
    <t xml:space="preserve">World's Greatest Stretch</t>
  </si>
  <si>
    <t xml:space="preserve">World's greatest stretch</t>
  </si>
  <si>
    <t xml:space="preserve">Lunge, elbow to instep, rotate open. 5 per side, no rush.</t>
  </si>
  <si>
    <t xml:space="preserve">Specific ramp-up sets</t>
  </si>
  <si>
    <t xml:space="preserve">Uppvärmningsset</t>
  </si>
  <si>
    <t xml:space="preserve">4 Specific</t>
  </si>
  <si>
    <t xml:space="preserve">2–4 progressively heavier sets of your first main lift: roughly 40%, 60%, 80% of the working weight.</t>
  </si>
  <si>
    <t xml:space="preserve">Deep squat hold</t>
  </si>
  <si>
    <t xml:space="preserve">Djup knäböjshållning</t>
  </si>
  <si>
    <t xml:space="preserve">Bodyweight or light goblet. Sit in the bottom for 30 s, 3 rounds, gently pushing the knees out.</t>
  </si>
  <si>
    <t xml:space="preserve">Ankle rock-forward</t>
  </si>
  <si>
    <t xml:space="preserve">Fotledsrockning</t>
  </si>
  <si>
    <t xml:space="preserve">Half-kneeling, drive the knee forward over the toes. 15 per side.</t>
  </si>
  <si>
    <t xml:space="preserve">Bodyweight squat</t>
  </si>
  <si>
    <t xml:space="preserve">3 Activate</t>
  </si>
  <si>
    <t xml:space="preserve">15 slow reps, pausing 2 s at the bottom of each.</t>
  </si>
  <si>
    <t xml:space="preserve">Banded monster walk</t>
  </si>
  <si>
    <t xml:space="preserve">Band above the knees. 15 steps forward, 15 back, 15 each side.</t>
  </si>
  <si>
    <t xml:space="preserve">Cat-camel</t>
  </si>
  <si>
    <t xml:space="preserve">Katt och kamel</t>
  </si>
  <si>
    <t xml:space="preserve">10 slow cycles, moving one segment of the spine at a time.</t>
  </si>
  <si>
    <t xml:space="preserve">Glute bridge</t>
  </si>
  <si>
    <t xml:space="preserve">15 reps with a 2 s squeeze at the top. Ribs down.</t>
  </si>
  <si>
    <t xml:space="preserve">Light RDL</t>
  </si>
  <si>
    <t xml:space="preserve">Lätt rumänsk marklyft</t>
  </si>
  <si>
    <t xml:space="preserve">Empty bar or light kettlebell. 12 reps grooving the hinge pattern.</t>
  </si>
  <si>
    <t xml:space="preserve">90/90 hip switch</t>
  </si>
  <si>
    <t xml:space="preserve">90/90 höftväxling</t>
  </si>
  <si>
    <t xml:space="preserve">Seated, rotate both knees side to side. 10 per side, chest tall.</t>
  </si>
  <si>
    <t xml:space="preserve">Half-kneeling hip flexor stretch</t>
  </si>
  <si>
    <t xml:space="preserve">Höftböjarstretch i halvknästående</t>
  </si>
  <si>
    <t xml:space="preserve">Tuck the pelvis, squeeze the back glute, reach overhead. 30 s per side.</t>
  </si>
  <si>
    <t xml:space="preserve">Bodyweight walking lunge</t>
  </si>
  <si>
    <t xml:space="preserve">Gående utfall utan vikt</t>
  </si>
  <si>
    <t xml:space="preserve">10 per side, controlled, knee tracking over the second toe.</t>
  </si>
  <si>
    <t xml:space="preserve">Single-leg balance</t>
  </si>
  <si>
    <t xml:space="preserve">Enbensbalans</t>
  </si>
  <si>
    <t xml:space="preserve">30 s per side. Add slow head turns once it feels easy.</t>
  </si>
  <si>
    <t xml:space="preserve">Scapular push-up</t>
  </si>
  <si>
    <t xml:space="preserve">Skulderbladsarmhävning</t>
  </si>
  <si>
    <t xml:space="preserve">Arms straight, protract and retract only. 12 slow reps.</t>
  </si>
  <si>
    <t xml:space="preserve">20 reps, pause 1 s with the band at the chest.</t>
  </si>
  <si>
    <t xml:space="preserve">Floor pec opener</t>
  </si>
  <si>
    <t xml:space="preserve">Bröstöppnare på golv</t>
  </si>
  <si>
    <t xml:space="preserve">Face down, one arm out at 90°, roll onto that shoulder. 30 s per side.</t>
  </si>
  <si>
    <t xml:space="preserve">Push-up</t>
  </si>
  <si>
    <t xml:space="preserve">10 reps at a controlled tempo, body in one line.</t>
  </si>
  <si>
    <t xml:space="preserve">Wall slide</t>
  </si>
  <si>
    <t xml:space="preserve">Väggglid</t>
  </si>
  <si>
    <t xml:space="preserve">Back to the wall, forearms flat, slide overhead without the ribs flaring. 12 reps.</t>
  </si>
  <si>
    <t xml:space="preserve">Band overhead press</t>
  </si>
  <si>
    <t xml:space="preserve">Bandpress över huvudet</t>
  </si>
  <si>
    <t xml:space="preserve">15 reps, glutes squeezed, no lean-back.</t>
  </si>
  <si>
    <t xml:space="preserve">Thoracic extension over roller</t>
  </si>
  <si>
    <t xml:space="preserve">Bröstryggsextension på rulle</t>
  </si>
  <si>
    <t xml:space="preserve">Roller across the mid-back, extend over it. 8 reps at 3 positions.</t>
  </si>
  <si>
    <t xml:space="preserve">Band row</t>
  </si>
  <si>
    <t xml:space="preserve">Bandrodd</t>
  </si>
  <si>
    <t xml:space="preserve">15 reps. Set the shoulder blade first, then bend the elbow.</t>
  </si>
  <si>
    <t xml:space="preserve">Prone Y-T-W</t>
  </si>
  <si>
    <t xml:space="preserve">Face down on a bench or the floor. 8 reps of each letter, no weight needed.</t>
  </si>
  <si>
    <t xml:space="preserve">Dead hang</t>
  </si>
  <si>
    <t xml:space="preserve">2 × 20 s. Let the shoulders come up, then actively pull them down.</t>
  </si>
  <si>
    <t xml:space="preserve">Scapular pull-up</t>
  </si>
  <si>
    <t xml:space="preserve">Skulderbladschins</t>
  </si>
  <si>
    <t xml:space="preserve">10 reps. Arms stay straight, chest rises toward the bar.</t>
  </si>
  <si>
    <t xml:space="preserve">Lat stretch on rack</t>
  </si>
  <si>
    <t xml:space="preserve">Latsstretch i ställning</t>
  </si>
  <si>
    <t xml:space="preserve">Hinge with hands on the rack, sink the chest. 30 s, twice.</t>
  </si>
  <si>
    <t xml:space="preserve">Empty bar complex</t>
  </si>
  <si>
    <t xml:space="preserve">Komplex med tom stång</t>
  </si>
  <si>
    <t xml:space="preserve">Empty bar: 5 muscle cleans, 5 front squats, 5 push presses, 5 hang pulls. Two rounds.</t>
  </si>
  <si>
    <t xml:space="preserve">Overhead squat with stick</t>
  </si>
  <si>
    <t xml:space="preserve">Överhuvudböj med käpp</t>
  </si>
  <si>
    <t xml:space="preserve">10 slow reps with a broomstick, arms locked and behind the ears.</t>
  </si>
  <si>
    <t xml:space="preserve">Wrist and elbow prep</t>
  </si>
  <si>
    <t xml:space="preserve">Handleds- och armbågsförberedelse</t>
  </si>
  <si>
    <t xml:space="preserve">Front-rack wrist rocks and elbow circles. 15 each, gently.</t>
  </si>
  <si>
    <t xml:space="preserve">Skipping</t>
  </si>
  <si>
    <t xml:space="preserve">Hopprep</t>
  </si>
  <si>
    <t xml:space="preserve">3 × 45 s, staying on the balls of the feet.</t>
  </si>
  <si>
    <t xml:space="preserve">Pogo hops</t>
  </si>
  <si>
    <t xml:space="preserve">2 × 20 stiff-ankle hops, minimal knee bend.</t>
  </si>
  <si>
    <t xml:space="preserve">Calf pre-load</t>
  </si>
  <si>
    <t xml:space="preserve">Vadförberedelse</t>
  </si>
  <si>
    <t xml:space="preserve">20 bodyweight calf raises plus 10 fast bounces.</t>
  </si>
  <si>
    <t xml:space="preserve">10 per side, lower back pressed flat throughout.</t>
  </si>
  <si>
    <t xml:space="preserve">10 per side, 2 s hold, hips level.</t>
  </si>
  <si>
    <t xml:space="preserve">Grip prep</t>
  </si>
  <si>
    <t xml:space="preserve">Greppförberedelse</t>
  </si>
  <si>
    <t xml:space="preserve">20 s hang, 20 hand squeezes, wrist circles.</t>
  </si>
  <si>
    <t xml:space="preserve">Light suitcase carry</t>
  </si>
  <si>
    <t xml:space="preserve">Lätt resväskebärning</t>
  </si>
  <si>
    <t xml:space="preserve">2 × 15 m per side at about half your working load.</t>
  </si>
  <si>
    <t xml:space="preserve">Leg swings</t>
  </si>
  <si>
    <t xml:space="preserve">Bensvingar</t>
  </si>
  <si>
    <t xml:space="preserve">15 front-to-back and 15 side-to-side per leg, building range gradually.</t>
  </si>
  <si>
    <t xml:space="preserve">Banded clamshell</t>
  </si>
  <si>
    <t xml:space="preserve">Clamshell med band</t>
  </si>
  <si>
    <t xml:space="preserve">15 per side, band above the knees, hips stacked.</t>
  </si>
  <si>
    <t xml:space="preserve">Band dislocates</t>
  </si>
  <si>
    <t xml:space="preserve">12 reps, hands wide enough that the arms stay straight.</t>
  </si>
  <si>
    <t xml:space="preserve">Couch stretch</t>
  </si>
  <si>
    <t xml:space="preserve">Rear foot on a bench, pelvis tucked. 45 s per side.</t>
  </si>
  <si>
    <t xml:space="preserve">Ankle rocks and calf raises</t>
  </si>
  <si>
    <t xml:space="preserve">Fotledsrockning och vadlyft</t>
  </si>
  <si>
    <t xml:space="preserve">15 ankle rocks plus 20 calf raises per side.</t>
  </si>
  <si>
    <t xml:space="preserve">Cossack squat</t>
  </si>
  <si>
    <t xml:space="preserve">8 per side, heel down, chest up.</t>
  </si>
  <si>
    <t xml:space="preserve">Thread the needle</t>
  </si>
  <si>
    <t xml:space="preserve">On all fours, reach one arm under the body. 8 per side.</t>
  </si>
  <si>
    <t xml:space="preserve">Arm circles</t>
  </si>
  <si>
    <t xml:space="preserve">Armcirklar</t>
  </si>
  <si>
    <t xml:space="preserve">20 small circles into 20 large ones, both directions.</t>
  </si>
  <si>
    <t xml:space="preserve">2 × 20 s. Lower back stays glued to the floor.</t>
  </si>
  <si>
    <t xml:space="preserve">Light arm pump</t>
  </si>
  <si>
    <t xml:space="preserve">Lätt armpump</t>
  </si>
  <si>
    <t xml:space="preserve">20 band curls and 20 band pushdowns to get blood into the elbows.</t>
  </si>
  <si>
    <t xml:space="preserve">Shrugs and neck circles</t>
  </si>
  <si>
    <t xml:space="preserve">Shrugs och nackcirklar</t>
  </si>
  <si>
    <t xml:space="preserve">15 slow shrugs, then 10 gentle neck circles each way.</t>
  </si>
  <si>
    <t xml:space="preserve">Wrist prep</t>
  </si>
  <si>
    <t xml:space="preserve">Handledsförberedelse</t>
  </si>
  <si>
    <t xml:space="preserve">Kneeling wrist rocks, palms down then palms up. 15 each.</t>
  </si>
  <si>
    <t xml:space="preserve">Everything here needs a yoga mat and nothing else. Target decides when an exercise is suggested as a cool-down: 'Always', or a muscle group you trained that session. Filter the Target column to build a standalone mobility session on a rest day.</t>
  </si>
  <si>
    <t xml:space="preserve">Type</t>
  </si>
  <si>
    <t xml:space="preserve">Type order</t>
  </si>
  <si>
    <t xml:space="preserve">Target</t>
  </si>
  <si>
    <t xml:space="preserve">Cat-Cow</t>
  </si>
  <si>
    <t xml:space="preserve">Katt och ko</t>
  </si>
  <si>
    <t xml:space="preserve">Flow</t>
  </si>
  <si>
    <t xml:space="preserve">On all fours. Inhale into extension, exhale into flexion. 10 slow cycles.</t>
  </si>
  <si>
    <t xml:space="preserve">Downward Dog</t>
  </si>
  <si>
    <t xml:space="preserve">Nedåtgående hund</t>
  </si>
  <si>
    <t xml:space="preserve">Press the floor away, pedal the heels. Hold 60 s, twice.</t>
  </si>
  <si>
    <t xml:space="preserve">Cobra to Child's Pose</t>
  </si>
  <si>
    <t xml:space="preserve">Kobra till barnets position</t>
  </si>
  <si>
    <t xml:space="preserve">Flow between the two on the breath. 8 rounds, 5 s in each end position.</t>
  </si>
  <si>
    <t xml:space="preserve">Child's Pose</t>
  </si>
  <si>
    <t xml:space="preserve">Barnets position</t>
  </si>
  <si>
    <t xml:space="preserve">Wind-down</t>
  </si>
  <si>
    <t xml:space="preserve">Knees wide, arms long, forehead down. Breathe into the back ribs for 90 s.</t>
  </si>
  <si>
    <t xml:space="preserve">Legs Up the Wall</t>
  </si>
  <si>
    <t xml:space="preserve">Ben upp mot väggen</t>
  </si>
  <si>
    <t xml:space="preserve">Hips close to the wall, legs vertical. 3 minutes, nothing else to do.</t>
  </si>
  <si>
    <t xml:space="preserve">Box Breathing</t>
  </si>
  <si>
    <t xml:space="preserve">Boxandning</t>
  </si>
  <si>
    <t xml:space="preserve">Supine, knees bent. In 4, hold 4, out 4, hold 4. 3 minutes.</t>
  </si>
  <si>
    <t xml:space="preserve">90/90 Breathing</t>
  </si>
  <si>
    <t xml:space="preserve">90/90-andning</t>
  </si>
  <si>
    <t xml:space="preserve">Feet on a wall or a chair, low back flat. 10 slow breaths, ribs down.</t>
  </si>
  <si>
    <t xml:space="preserve">Pigeon Pose</t>
  </si>
  <si>
    <t xml:space="preserve">Duvan</t>
  </si>
  <si>
    <t xml:space="preserve">Lower body</t>
  </si>
  <si>
    <t xml:space="preserve">Front shin angled across the mat, hips square. 90 s per side.</t>
  </si>
  <si>
    <t xml:space="preserve">Supine Figure-4</t>
  </si>
  <si>
    <t xml:space="preserve">Liggande figur-4</t>
  </si>
  <si>
    <t xml:space="preserve">Ankle across the opposite knee, pull the back thigh in. 60 s per side.</t>
  </si>
  <si>
    <t xml:space="preserve">Happy Baby</t>
  </si>
  <si>
    <t xml:space="preserve">Glada barnet</t>
  </si>
  <si>
    <t xml:space="preserve">Grab the outsides of the feet, knees toward the armpits. 90 s.</t>
  </si>
  <si>
    <t xml:space="preserve">90/90 Hip Switch</t>
  </si>
  <si>
    <t xml:space="preserve">Rotate the knees side to side without using the hands. 10 per side.</t>
  </si>
  <si>
    <t xml:space="preserve">Half-Kneeling Quad Stretch</t>
  </si>
  <si>
    <t xml:space="preserve">Quadstretch i halvknästående</t>
  </si>
  <si>
    <t xml:space="preserve">Rear foot lifted, pelvis tucked hard. 60 s per side.</t>
  </si>
  <si>
    <t xml:space="preserve">Couch Stretch</t>
  </si>
  <si>
    <t xml:space="preserve">Rear shin up the wall, torso upright. 90 s per side — this one is unpleasant.</t>
  </si>
  <si>
    <t xml:space="preserve">Prone Quad Pull</t>
  </si>
  <si>
    <t xml:space="preserve">Liggande quaddrag</t>
  </si>
  <si>
    <t xml:space="preserve">Face down, heel to glute, hips pressed into the mat. 60 s per side.</t>
  </si>
  <si>
    <t xml:space="preserve">Seated Forward Fold</t>
  </si>
  <si>
    <t xml:space="preserve">Sittande framåtfällning</t>
  </si>
  <si>
    <t xml:space="preserve">Hinge from the hips, spine long rather than rounded. 90 s.</t>
  </si>
  <si>
    <t xml:space="preserve">Supine Hamstring Stretch</t>
  </si>
  <si>
    <t xml:space="preserve">Liggande hamstringstretch</t>
  </si>
  <si>
    <t xml:space="preserve">Use a towel or belt around the foot. 60 s per side, then 30 s across the body.</t>
  </si>
  <si>
    <t xml:space="preserve">Standing Forward Fold</t>
  </si>
  <si>
    <t xml:space="preserve">Stående framåtfällning</t>
  </si>
  <si>
    <t xml:space="preserve">Soft knees, let the head hang heavy. 90 s.</t>
  </si>
  <si>
    <t xml:space="preserve">Butterfly Stretch</t>
  </si>
  <si>
    <t xml:space="preserve">Fjärilen</t>
  </si>
  <si>
    <t xml:space="preserve">Soles together, hinge forward with a long spine. 90 s.</t>
  </si>
  <si>
    <t xml:space="preserve">Frog Stretch</t>
  </si>
  <si>
    <t xml:space="preserve">Grodan</t>
  </si>
  <si>
    <t xml:space="preserve">Knees wide, shins parallel, rock back and forth. 8 slow rocks, then hold 60 s.</t>
  </si>
  <si>
    <t xml:space="preserve">Wide-Legged Straddle Fold</t>
  </si>
  <si>
    <t xml:space="preserve">Bred grensittande fällning</t>
  </si>
  <si>
    <t xml:space="preserve">Fold forward and to each side. 60 s in each of the three positions.</t>
  </si>
  <si>
    <t xml:space="preserve">Downward Dog Calf Pedal</t>
  </si>
  <si>
    <t xml:space="preserve">Vadpedalering i nedåtgående hund</t>
  </si>
  <si>
    <t xml:space="preserve">Alternate pressing each heel down. 20 per side, then hold both down 30 s.</t>
  </si>
  <si>
    <t xml:space="preserve">Kneeling Toe Stretch</t>
  </si>
  <si>
    <t xml:space="preserve">Tåstretch i knästående</t>
  </si>
  <si>
    <t xml:space="preserve">Sit back on tucked toes. 60 s — build up slowly if it's new.</t>
  </si>
  <si>
    <t xml:space="preserve">Ankle Circles and Rocks</t>
  </si>
  <si>
    <t xml:space="preserve">Fotledscirklar och rockning</t>
  </si>
  <si>
    <t xml:space="preserve">15 circles each way per ankle, then 15 knee-over-toe rocks.</t>
  </si>
  <si>
    <t xml:space="preserve">Thread the Needle</t>
  </si>
  <si>
    <t xml:space="preserve">Spine</t>
  </si>
  <si>
    <t xml:space="preserve">All fours, one arm reaching under the body. 8 per side, 5 s at the end.</t>
  </si>
  <si>
    <t xml:space="preserve">Supine Spinal Twist</t>
  </si>
  <si>
    <t xml:space="preserve">Liggande ryggvridning</t>
  </si>
  <si>
    <t xml:space="preserve">Knees to one side, opposite shoulder down. 90 s per side.</t>
  </si>
  <si>
    <t xml:space="preserve">Open Book</t>
  </si>
  <si>
    <t xml:space="preserve">Öppna boken</t>
  </si>
  <si>
    <t xml:space="preserve">Side-lying, knees stacked, rotate the top arm open. 10 per side.</t>
  </si>
  <si>
    <t xml:space="preserve">Sphinx Pose</t>
  </si>
  <si>
    <t xml:space="preserve">Sfinxen</t>
  </si>
  <si>
    <t xml:space="preserve">Forearms down, chest lifted, glutes relaxed. 90 s.</t>
  </si>
  <si>
    <t xml:space="preserve">Cobra</t>
  </si>
  <si>
    <t xml:space="preserve">Kobran</t>
  </si>
  <si>
    <t xml:space="preserve">Press up only as far as the low back stays comfortable. 8 reps, 5 s each.</t>
  </si>
  <si>
    <t xml:space="preserve">Puppy Pose</t>
  </si>
  <si>
    <t xml:space="preserve">Valpen</t>
  </si>
  <si>
    <t xml:space="preserve">Hips over knees, chest sinking toward the mat. 90 s.</t>
  </si>
  <si>
    <t xml:space="preserve">Cross-Body Shoulder Stretch</t>
  </si>
  <si>
    <t xml:space="preserve">Axelstretch över kroppen</t>
  </si>
  <si>
    <t xml:space="preserve">Upper body</t>
  </si>
  <si>
    <t xml:space="preserve">Arm across the chest, pull with the opposite forearm. 45 s per side.</t>
  </si>
  <si>
    <t xml:space="preserve">Prone Shoulder T</t>
  </si>
  <si>
    <t xml:space="preserve">Liggande axel-T</t>
  </si>
  <si>
    <t xml:space="preserve">Face down, arm out at 90°, roll onto that shoulder. 60 s per side.</t>
  </si>
  <si>
    <t xml:space="preserve">Floor Angels</t>
  </si>
  <si>
    <t xml:space="preserve">Golvänglar</t>
  </si>
  <si>
    <t xml:space="preserve">On your back, arms slide overhead keeping the low back flat. 12 slow reps.</t>
  </si>
  <si>
    <t xml:space="preserve">Thread the Needle Shoulder</t>
  </si>
  <si>
    <t xml:space="preserve">Thread the needle för axeln</t>
  </si>
  <si>
    <t xml:space="preserve">Shoulder and ear on the mat, hold the rotation. 60 s per side.</t>
  </si>
  <si>
    <t xml:space="preserve">Prone Scorpion</t>
  </si>
  <si>
    <t xml:space="preserve">Liggande skorpion</t>
  </si>
  <si>
    <t xml:space="preserve">Face down, reach one foot across to the opposite side. 8 per side.</t>
  </si>
  <si>
    <t xml:space="preserve">Supine Chest Opener</t>
  </si>
  <si>
    <t xml:space="preserve">Liggande bröstöppnare</t>
  </si>
  <si>
    <t xml:space="preserve">Lie along a rolled mat or towel, arms out in a T. 2 minutes, just breathe.</t>
  </si>
  <si>
    <t xml:space="preserve">Overhead Triceps Stretch</t>
  </si>
  <si>
    <t xml:space="preserve">Tricepsstretch över huvudet</t>
  </si>
  <si>
    <t xml:space="preserve">Elbow up, hand down the spine, gentle pull. 45 s per side.</t>
  </si>
  <si>
    <t xml:space="preserve">Kneeling Biceps Stretch</t>
  </si>
  <si>
    <t xml:space="preserve">Bicepsstretch i knästående</t>
  </si>
  <si>
    <t xml:space="preserve">Hands behind you, fingers pointing back, lean away. 45 s, twice.</t>
  </si>
  <si>
    <t xml:space="preserve">Prayer Stretch</t>
  </si>
  <si>
    <t xml:space="preserve">Bönstretch</t>
  </si>
  <si>
    <t xml:space="preserve">Palms together, lower the hands. Then reverse with the backs of the hands. 45 s each.</t>
  </si>
  <si>
    <t xml:space="preserve">Wrist Flexor and Extensor Stretch</t>
  </si>
  <si>
    <t xml:space="preserve">Handledsstretch</t>
  </si>
  <si>
    <t xml:space="preserve">On all fours, fingers pointing back, rock gently. 45 s each direction.</t>
  </si>
  <si>
    <t xml:space="preserve">Neck Side Stretch</t>
  </si>
  <si>
    <t xml:space="preserve">Nackstretch åt sidan</t>
  </si>
  <si>
    <t xml:space="preserve">Ear toward shoulder, opposite hand reaching down. 45 s per side.</t>
  </si>
  <si>
    <t xml:space="preserve">Levator Scapulae Stretch</t>
  </si>
  <si>
    <t xml:space="preserve">Levatorstretch</t>
  </si>
  <si>
    <t xml:space="preserve">Look down into the armpit, gentle hand pressure. 45 s per side.</t>
  </si>
  <si>
    <t xml:space="preserve">Dead Bug Breathing</t>
  </si>
  <si>
    <t xml:space="preserve">Dead bug med andning</t>
  </si>
  <si>
    <t xml:space="preserve">Slow arm and leg extensions, exhaling fully on each rep. 8 per side.</t>
  </si>
  <si>
    <t xml:space="preserve">Prone Press-Up Breathing</t>
  </si>
  <si>
    <t xml:space="preserve">Liggande pressandning</t>
  </si>
  <si>
    <t xml:space="preserve">Sphinx position, 10 slow breaths letting the abdomen relax completely.</t>
  </si>
  <si>
    <t xml:space="preserve">Prescriptions — sets, reps, load, rest and timing by profile and goal</t>
  </si>
  <si>
    <t xml:space="preserve">These numbers drive every workout sheet. Columns K–M are used only for the time estimate: how many sets you typically do, how long a set takes, and how long you rest.</t>
  </si>
  <si>
    <t xml:space="preserve">Key (do not edit)</t>
  </si>
  <si>
    <t xml:space="preserve">Goal</t>
  </si>
  <si>
    <t xml:space="preserve">Sets</t>
  </si>
  <si>
    <t xml:space="preserve">Reps</t>
  </si>
  <si>
    <t xml:space="preserve">Load</t>
  </si>
  <si>
    <t xml:space="preserve">Load min</t>
  </si>
  <si>
    <t xml:space="preserve">Load max</t>
  </si>
  <si>
    <t xml:space="preserve">Rest</t>
  </si>
  <si>
    <t xml:space="preserve">Coaching note</t>
  </si>
  <si>
    <t xml:space="preserve">Sets (avg)</t>
  </si>
  <si>
    <t xml:space="preserve">Work per set (s)</t>
  </si>
  <si>
    <t xml:space="preserve">Rest (avg, s)</t>
  </si>
  <si>
    <t xml:space="preserve">Explosivity</t>
  </si>
  <si>
    <t xml:space="preserve">4–6</t>
  </si>
  <si>
    <t xml:space="preserve">2–3</t>
  </si>
  <si>
    <t xml:space="preserve">50–70% of 1RM</t>
  </si>
  <si>
    <t xml:space="preserve">2–3 min</t>
  </si>
  <si>
    <t xml:space="preserve">Maximal intent every rep. End the set when bar speed drops.</t>
  </si>
  <si>
    <t xml:space="preserve">Strength</t>
  </si>
  <si>
    <t xml:space="preserve">3–5</t>
  </si>
  <si>
    <t xml:space="preserve">3–6</t>
  </si>
  <si>
    <t xml:space="preserve">80–90% of 1RM</t>
  </si>
  <si>
    <t xml:space="preserve">3–5 min</t>
  </si>
  <si>
    <t xml:space="preserve">RPE 7–9. Leave 1–2 reps in reserve on most sets.</t>
  </si>
  <si>
    <t xml:space="preserve">Muscular endurance</t>
  </si>
  <si>
    <t xml:space="preserve">2–4</t>
  </si>
  <si>
    <t xml:space="preserve">12–20</t>
  </si>
  <si>
    <t xml:space="preserve">50–65% of 1RM</t>
  </si>
  <si>
    <t xml:space="preserve">45–90 s</t>
  </si>
  <si>
    <t xml:space="preserve">Stop 2–3 reps short of failure; keep technique clean.</t>
  </si>
  <si>
    <t xml:space="preserve">4–5</t>
  </si>
  <si>
    <t xml:space="preserve">40–60% of 1RM</t>
  </si>
  <si>
    <t xml:space="preserve">Accelerate through the whole concentric.</t>
  </si>
  <si>
    <t xml:space="preserve">3–4</t>
  </si>
  <si>
    <t xml:space="preserve">5–8</t>
  </si>
  <si>
    <t xml:space="preserve">75–85% of 1RM</t>
  </si>
  <si>
    <t xml:space="preserve">RPE 7–9. Add load when the top of the rep range feels easy.</t>
  </si>
  <si>
    <t xml:space="preserve">50–60% of 1RM</t>
  </si>
  <si>
    <t xml:space="preserve">45–75 s</t>
  </si>
  <si>
    <t xml:space="preserve">Short rest, controlled tempo, no cheating.</t>
  </si>
  <si>
    <t xml:space="preserve">—</t>
  </si>
  <si>
    <t xml:space="preserve">Not applicable</t>
  </si>
  <si>
    <t xml:space="preserve">Train explosiveness on compound and Olympic lifts instead.</t>
  </si>
  <si>
    <t xml:space="preserve">6–12</t>
  </si>
  <si>
    <t xml:space="preserve">70–80% of 1RM</t>
  </si>
  <si>
    <t xml:space="preserve">90–120 s</t>
  </si>
  <si>
    <t xml:space="preserve">RPE 8–9. Full range of motion beats extra load.</t>
  </si>
  <si>
    <t xml:space="preserve">15–25</t>
  </si>
  <si>
    <t xml:space="preserve">40–55% of 1RM</t>
  </si>
  <si>
    <t xml:space="preserve">30–60 s</t>
  </si>
  <si>
    <t xml:space="preserve">Strict form; take these close to failure.</t>
  </si>
  <si>
    <t xml:space="preserve">1–3</t>
  </si>
  <si>
    <t xml:space="preserve">70–85% of 1RM</t>
  </si>
  <si>
    <t xml:space="preserve">Quality over quantity. End the session when technique slips.</t>
  </si>
  <si>
    <t xml:space="preserve">85–92% of 1RM</t>
  </si>
  <si>
    <t xml:space="preserve">3–4 min</t>
  </si>
  <si>
    <t xml:space="preserve">Heavy singles and doubles; only with solid technique.</t>
  </si>
  <si>
    <t xml:space="preserve">6–10</t>
  </si>
  <si>
    <t xml:space="preserve">55–65% of 1RM</t>
  </si>
  <si>
    <t xml:space="preserve">60–90 s</t>
  </si>
  <si>
    <t xml:space="preserve">Complexes only. Stop the moment form degrades.</t>
  </si>
  <si>
    <t xml:space="preserve">Full recovery between sets. Soft, controlled landings.</t>
  </si>
  <si>
    <t xml:space="preserve">5</t>
  </si>
  <si>
    <t xml:space="preserve">Bodyweight + 20–30%</t>
  </si>
  <si>
    <t xml:space="preserve">Loaded jumps with light external load only.</t>
  </si>
  <si>
    <t xml:space="preserve">20–30 s</t>
  </si>
  <si>
    <t xml:space="preserve">Continuous work. Expect power output to drop — that's the point.</t>
  </si>
  <si>
    <t xml:space="preserve">5–10</t>
  </si>
  <si>
    <t xml:space="preserve">Light</t>
  </si>
  <si>
    <t xml:space="preserve">Throws and explosive variations; rest fully.</t>
  </si>
  <si>
    <t xml:space="preserve">6–12 reps / 20–40 s</t>
  </si>
  <si>
    <t xml:space="preserve">Moderate</t>
  </si>
  <si>
    <t xml:space="preserve">Add load once you can hold a clean position.</t>
  </si>
  <si>
    <t xml:space="preserve">15–25 reps / 30–60 s</t>
  </si>
  <si>
    <t xml:space="preserve">Bodyweight–light</t>
  </si>
  <si>
    <t xml:space="preserve">Long holds. Keep breathing; stop when position breaks.</t>
  </si>
  <si>
    <t xml:space="preserve">15–20 m</t>
  </si>
  <si>
    <t xml:space="preserve">60–75% of max carry</t>
  </si>
  <si>
    <t xml:space="preserve">Fast turnover, tall posture.</t>
  </si>
  <si>
    <t xml:space="preserve">20–30 m</t>
  </si>
  <si>
    <t xml:space="preserve">70–90% of max carry</t>
  </si>
  <si>
    <t xml:space="preserve">Heavy. Grip is usually the limiter.</t>
  </si>
  <si>
    <t xml:space="preserve">60–100 m</t>
  </si>
  <si>
    <t xml:space="preserve">40–55% of max carry</t>
  </si>
  <si>
    <t xml:space="preserve">Long unbroken distance.</t>
  </si>
  <si>
    <t xml:space="preserve">Time assumptions</t>
  </si>
  <si>
    <t xml:space="preserve">Set-up and transition per exercise (seconds)</t>
  </si>
  <si>
    <t xml:space="preserve">Walking over, loading the bar, adjusting the machine. Raise it for a busy gym.</t>
  </si>
  <si>
    <t xml:space="preserve">Workout Builder — Workout A</t>
  </si>
  <si>
    <t xml:space="preserve">Workout name</t>
  </si>
  <si>
    <t xml:space="preserve">Lower body — heavy</t>
  </si>
  <si>
    <t xml:space="preserve">Pick your main exercises first (they drive the warm-up and cool-down), then set the goal and the time budgets.</t>
  </si>
  <si>
    <t xml:space="preserve">Date</t>
  </si>
  <si>
    <t xml:space="preserve">Warm-up budget (min)</t>
  </si>
  <si>
    <t xml:space="preserve">Cool-down budget (min)</t>
  </si>
  <si>
    <t xml:space="preserve">Session note</t>
  </si>
  <si>
    <t xml:space="preserve">Bar speed felt good, add 2.5 kg next week</t>
  </si>
  <si>
    <t xml:space="preserve">WARM-UP  —  builds itself from the movement patterns and muscles below</t>
  </si>
  <si>
    <t xml:space="preserve">#</t>
  </si>
  <si>
    <t xml:space="preserve">Triggered by</t>
  </si>
  <si>
    <t xml:space="preserve">Min</t>
  </si>
  <si>
    <t xml:space="preserve">Warm-up total (min)</t>
  </si>
  <si>
    <t xml:space="preserve">MAIN SESSION</t>
  </si>
  <si>
    <t xml:space="preserve">Pattern</t>
  </si>
  <si>
    <t xml:space="preserve">Primary</t>
  </si>
  <si>
    <t xml:space="preserve">Secondary</t>
  </si>
  <si>
    <t xml:space="preserve">Profile</t>
  </si>
  <si>
    <t xml:space="preserve">Suggested kg</t>
  </si>
  <si>
    <t xml:space="preserve">Your load (kg)</t>
  </si>
  <si>
    <t xml:space="preserve">Comment</t>
  </si>
  <si>
    <t xml:space="preserve">Est. min</t>
  </si>
  <si>
    <t xml:space="preserve">← example row, just type over it</t>
  </si>
  <si>
    <t xml:space="preserve">Main session total (min)</t>
  </si>
  <si>
    <t xml:space="preserve">COOL-DOWN  —  mobility on a mat, picked from the muscles you just trained</t>
  </si>
  <si>
    <t xml:space="preserve">Cool-down total (min)</t>
  </si>
  <si>
    <t xml:space="preserve">SESSION TIME ESTIMATE</t>
  </si>
  <si>
    <t xml:space="preserve">Warm-up</t>
  </si>
  <si>
    <t xml:space="preserve">Estimate is ±15%. It assumes you rest as prescribed and don't queue for equipment.</t>
  </si>
  <si>
    <t xml:space="preserve">Main session</t>
  </si>
  <si>
    <t xml:space="preserve">Total (minutes)</t>
  </si>
  <si>
    <t xml:space="preserve">Total (h:mm)</t>
  </si>
  <si>
    <t xml:space="preserve">SESSION BALANCE</t>
  </si>
  <si>
    <t xml:space="preserve">Exercises</t>
  </si>
  <si>
    <t xml:space="preserve">Workout Builder — Workout B</t>
  </si>
  <si>
    <t xml:space="preserve">Workout Builder — Workout C</t>
  </si>
  <si>
    <t xml:space="preserve">One row per set. Volume and estimated 1RM calculate themselves. Estimated 1RM uses the Epley formula: weight × (1 + reps ÷ 30).</t>
  </si>
  <si>
    <t xml:space="preserve">Session</t>
  </si>
  <si>
    <t xml:space="preserve">Set #</t>
  </si>
  <si>
    <t xml:space="preserve">Weight (kg)</t>
  </si>
  <si>
    <t xml:space="preserve">RPE</t>
  </si>
  <si>
    <t xml:space="preserve">Volume (kg)</t>
  </si>
  <si>
    <t xml:space="preserve">Est. 1RM (kg)</t>
  </si>
  <si>
    <t xml:space="preserve">Note</t>
  </si>
  <si>
    <t xml:space="preserve">Workout A</t>
  </si>
  <si>
    <t xml:space="preserve">← example row, type over it</t>
  </si>
  <si>
    <t xml:space="preserve">Automatic summary of everything in the Training Log. Nothing to fill in here.</t>
  </si>
  <si>
    <t xml:space="preserve">Best est. 1RM (kg)</t>
  </si>
  <si>
    <t xml:space="preserve">Heaviest set (kg)</t>
  </si>
  <si>
    <t xml:space="preserve">Total sets logged</t>
  </si>
  <si>
    <t xml:space="preserve">Total volume (kg)</t>
  </si>
  <si>
    <t xml:space="preserve">Last trained</t>
  </si>
</sst>
</file>

<file path=xl/styles.xml><?xml version="1.0" encoding="utf-8"?>
<styleSheet xmlns="http://schemas.openxmlformats.org/spreadsheetml/2006/main">
  <numFmts count="5">
    <numFmt numFmtId="164" formatCode="General"/>
    <numFmt numFmtId="165" formatCode="0.0"/>
    <numFmt numFmtId="166" formatCode="0%"/>
    <numFmt numFmtId="167" formatCode="yyyy\-mm\-dd"/>
    <numFmt numFmtId="168"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theme="1"/>
      <name val="Arial"/>
      <family val="0"/>
      <charset val="1"/>
    </font>
    <font>
      <b val="true"/>
      <sz val="10"/>
      <color rgb="FF000000"/>
      <name val="Arial"/>
      <family val="0"/>
      <charset val="1"/>
    </font>
    <font>
      <sz val="10"/>
      <name val="Arial"/>
      <family val="0"/>
      <charset val="1"/>
    </font>
    <font>
      <b val="true"/>
      <sz val="12"/>
      <color rgb="FF2E5E4E"/>
      <name val="Arial"/>
      <family val="0"/>
      <charset val="1"/>
    </font>
    <font>
      <i val="true"/>
      <sz val="9"/>
      <color rgb="FF666666"/>
      <name val="Arial"/>
      <family val="0"/>
      <charset val="1"/>
    </font>
    <font>
      <b val="true"/>
      <sz val="10"/>
      <color rgb="FFFFFFFF"/>
      <name val="Arial"/>
      <family val="0"/>
      <charset val="1"/>
    </font>
    <font>
      <sz val="9"/>
      <color rgb="FF808080"/>
      <name val="Arial"/>
      <family val="0"/>
      <charset val="1"/>
    </font>
    <font>
      <b val="true"/>
      <sz val="11"/>
      <color rgb="FF2E5E4E"/>
      <name val="Arial"/>
      <family val="0"/>
      <charset val="1"/>
    </font>
    <font>
      <b val="true"/>
      <sz val="10"/>
      <name val="Arial"/>
      <family val="0"/>
      <charset val="1"/>
    </font>
    <font>
      <b val="true"/>
      <sz val="11"/>
      <color rgb="FFFFFFFF"/>
      <name val="Arial"/>
      <family val="0"/>
      <charset val="1"/>
    </font>
  </fonts>
  <fills count="8">
    <fill>
      <patternFill patternType="none"/>
    </fill>
    <fill>
      <patternFill patternType="gray125"/>
    </fill>
    <fill>
      <patternFill patternType="solid">
        <fgColor rgb="FFFFF2CC"/>
        <bgColor rgb="FFF2F2F2"/>
      </patternFill>
    </fill>
    <fill>
      <patternFill patternType="solid">
        <fgColor rgb="FFF2F2F2"/>
        <bgColor rgb="FFFFFFFF"/>
      </patternFill>
    </fill>
    <fill>
      <patternFill patternType="solid">
        <fgColor rgb="FF1F3864"/>
        <bgColor rgb="FF333399"/>
      </patternFill>
    </fill>
    <fill>
      <patternFill patternType="solid">
        <fgColor rgb="FFD9E2F3"/>
        <bgColor rgb="FFDDEBE4"/>
      </patternFill>
    </fill>
    <fill>
      <patternFill patternType="solid">
        <fgColor rgb="FF2E5E4E"/>
        <bgColor rgb="FF1F3864"/>
      </patternFill>
    </fill>
    <fill>
      <patternFill patternType="solid">
        <fgColor rgb="FFDDEBE4"/>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7"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8" fontId="13" fillId="7"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8" fontId="7" fillId="3"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bottom" textRotation="0" wrapText="false" indent="0" shrinkToFit="false"/>
      <protection locked="true" hidden="false"/>
    </xf>
    <xf numFmtId="167" fontId="7" fillId="2" borderId="1" xfId="0" applyFont="true" applyBorder="tru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7" fontId="7"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D9E2F3"/>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DDEBE4"/>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2E5E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5"/>
  </cols>
  <sheetData>
    <row r="1" customFormat="false" ht="24" hidden="false" customHeight="true" outlineLevel="0" collapsed="false">
      <c r="A1" s="1" t="s">
        <v>0</v>
      </c>
      <c r="B1" s="2"/>
    </row>
    <row r="2" customFormat="false" ht="15" hidden="false" customHeight="false" outlineLevel="0" collapsed="false">
      <c r="A2" s="2"/>
      <c r="B2" s="2"/>
    </row>
    <row r="3" customFormat="false" ht="15" hidden="false" customHeight="false" outlineLevel="0" collapsed="false">
      <c r="A3" s="3"/>
      <c r="B3" s="4"/>
    </row>
    <row r="4" customFormat="false" ht="15" hidden="false" customHeight="false" outlineLevel="0" collapsed="false">
      <c r="A4" s="5" t="s">
        <v>1</v>
      </c>
      <c r="B4" s="4"/>
    </row>
    <row r="5" customFormat="false" ht="23.85" hidden="false" customHeight="false" outlineLevel="0" collapsed="false">
      <c r="A5" s="3" t="s">
        <v>2</v>
      </c>
      <c r="B5" s="4" t="s">
        <v>3</v>
      </c>
    </row>
    <row r="6" customFormat="false" ht="23.85" hidden="false" customHeight="false" outlineLevel="0" collapsed="false">
      <c r="A6" s="3" t="s">
        <v>4</v>
      </c>
      <c r="B6" s="4" t="s">
        <v>5</v>
      </c>
    </row>
    <row r="7" customFormat="false" ht="15" hidden="false" customHeight="false" outlineLevel="0" collapsed="false">
      <c r="A7" s="3" t="s">
        <v>6</v>
      </c>
      <c r="B7" s="4" t="s">
        <v>7</v>
      </c>
    </row>
    <row r="8" customFormat="false" ht="23.85" hidden="false" customHeight="false" outlineLevel="0" collapsed="false">
      <c r="A8" s="3" t="s">
        <v>8</v>
      </c>
      <c r="B8" s="4" t="s">
        <v>9</v>
      </c>
    </row>
    <row r="9" customFormat="false" ht="23.85" hidden="false" customHeight="false" outlineLevel="0" collapsed="false">
      <c r="A9" s="3" t="s">
        <v>10</v>
      </c>
      <c r="B9" s="4" t="s">
        <v>11</v>
      </c>
    </row>
    <row r="10" customFormat="false" ht="15" hidden="false" customHeight="false" outlineLevel="0" collapsed="false">
      <c r="A10" s="3" t="s">
        <v>12</v>
      </c>
      <c r="B10" s="4" t="s">
        <v>13</v>
      </c>
    </row>
    <row r="11" customFormat="false" ht="15" hidden="false" customHeight="false" outlineLevel="0" collapsed="false">
      <c r="A11" s="3" t="s">
        <v>14</v>
      </c>
      <c r="B11" s="4" t="s">
        <v>15</v>
      </c>
    </row>
    <row r="12" customFormat="false" ht="15" hidden="false" customHeight="false" outlineLevel="0" collapsed="false">
      <c r="A12" s="3"/>
      <c r="B12" s="4"/>
    </row>
    <row r="13" customFormat="false" ht="15" hidden="false" customHeight="false" outlineLevel="0" collapsed="false">
      <c r="A13" s="5" t="s">
        <v>16</v>
      </c>
      <c r="B13" s="4"/>
    </row>
    <row r="14" customFormat="false" ht="23.85" hidden="false" customHeight="false" outlineLevel="0" collapsed="false">
      <c r="A14" s="3" t="s">
        <v>17</v>
      </c>
      <c r="B14" s="4" t="s">
        <v>18</v>
      </c>
    </row>
    <row r="15" customFormat="false" ht="35.05" hidden="false" customHeight="false" outlineLevel="0" collapsed="false">
      <c r="A15" s="3" t="s">
        <v>19</v>
      </c>
      <c r="B15" s="4" t="s">
        <v>20</v>
      </c>
    </row>
    <row r="16" customFormat="false" ht="23.85" hidden="false" customHeight="false" outlineLevel="0" collapsed="false">
      <c r="A16" s="3" t="s">
        <v>21</v>
      </c>
      <c r="B16" s="4" t="s">
        <v>22</v>
      </c>
    </row>
    <row r="17" customFormat="false" ht="23.85" hidden="false" customHeight="false" outlineLevel="0" collapsed="false">
      <c r="A17" s="3" t="s">
        <v>23</v>
      </c>
      <c r="B17" s="4" t="s">
        <v>24</v>
      </c>
    </row>
    <row r="18" customFormat="false" ht="15" hidden="false" customHeight="false" outlineLevel="0" collapsed="false">
      <c r="A18" s="3"/>
      <c r="B18" s="4"/>
    </row>
    <row r="19" customFormat="false" ht="15" hidden="false" customHeight="false" outlineLevel="0" collapsed="false">
      <c r="A19" s="5" t="s">
        <v>25</v>
      </c>
      <c r="B19" s="4"/>
    </row>
    <row r="20" customFormat="false" ht="23.85" hidden="false" customHeight="false" outlineLevel="0" collapsed="false">
      <c r="A20" s="3" t="s">
        <v>26</v>
      </c>
      <c r="B20" s="4" t="s">
        <v>27</v>
      </c>
    </row>
    <row r="21" customFormat="false" ht="23.85" hidden="false" customHeight="false" outlineLevel="0" collapsed="false">
      <c r="A21" s="3" t="s">
        <v>28</v>
      </c>
      <c r="B21" s="4" t="s">
        <v>29</v>
      </c>
    </row>
    <row r="22" customFormat="false" ht="23.85" hidden="false" customHeight="false" outlineLevel="0" collapsed="false">
      <c r="A22" s="3" t="s">
        <v>30</v>
      </c>
      <c r="B22" s="4" t="s">
        <v>31</v>
      </c>
    </row>
    <row r="23" customFormat="false" ht="15" hidden="false" customHeight="false" outlineLevel="0" collapsed="false">
      <c r="A23" s="3"/>
      <c r="B23" s="4"/>
    </row>
    <row r="24" customFormat="false" ht="15" hidden="false" customHeight="false" outlineLevel="0" collapsed="false">
      <c r="A24" s="5" t="s">
        <v>32</v>
      </c>
      <c r="B24" s="4"/>
    </row>
    <row r="25" customFormat="false" ht="15" hidden="false" customHeight="false" outlineLevel="0" collapsed="false">
      <c r="A25" s="6" t="s">
        <v>33</v>
      </c>
      <c r="B25" s="4" t="s">
        <v>34</v>
      </c>
    </row>
    <row r="26" customFormat="false" ht="15" hidden="false" customHeight="false" outlineLevel="0" collapsed="false">
      <c r="A26" s="7" t="s">
        <v>35</v>
      </c>
      <c r="B26" s="4" t="s">
        <v>36</v>
      </c>
    </row>
    <row r="27" customFormat="false" ht="15" hidden="false" customHeight="false" outlineLevel="0" collapsed="false">
      <c r="A27" s="3" t="s">
        <v>37</v>
      </c>
      <c r="B27" s="4" t="s">
        <v>38</v>
      </c>
    </row>
    <row r="28" customFormat="false" ht="15" hidden="false" customHeight="false" outlineLevel="0" collapsed="false">
      <c r="A28" s="3"/>
      <c r="B28" s="4"/>
    </row>
    <row r="29" customFormat="false" ht="15" hidden="false" customHeight="false" outlineLevel="0" collapsed="false">
      <c r="A29" s="5" t="s">
        <v>39</v>
      </c>
      <c r="B29" s="4"/>
    </row>
    <row r="30" customFormat="false" ht="35.05" hidden="false" customHeight="false" outlineLevel="0" collapsed="false">
      <c r="A30" s="3" t="s">
        <v>40</v>
      </c>
      <c r="B30" s="4" t="s">
        <v>41</v>
      </c>
    </row>
    <row r="31" customFormat="false" ht="23.85" hidden="false" customHeight="false" outlineLevel="0" collapsed="false">
      <c r="A31" s="3" t="s">
        <v>42</v>
      </c>
      <c r="B31" s="4" t="s">
        <v>43</v>
      </c>
    </row>
    <row r="32" customFormat="false" ht="15" hidden="false" customHeight="false" outlineLevel="0" collapsed="false">
      <c r="A32" s="3" t="s">
        <v>44</v>
      </c>
      <c r="B32" s="4" t="s">
        <v>45</v>
      </c>
    </row>
    <row r="33" customFormat="false" ht="15" hidden="false" customHeight="false" outlineLevel="0" collapsed="false">
      <c r="A33" s="3" t="s">
        <v>46</v>
      </c>
      <c r="B33" s="4" t="s">
        <v>47</v>
      </c>
    </row>
    <row r="34" customFormat="false" ht="23.85" hidden="false" customHeight="false" outlineLevel="0" collapsed="false">
      <c r="A34" s="3" t="s">
        <v>48</v>
      </c>
      <c r="B34" s="4"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7"/>
    <col collapsed="false" customWidth="true" hidden="false" outlineLevel="0" max="4" min="4" style="0" width="19"/>
    <col collapsed="false" customWidth="true" hidden="false" outlineLevel="0" max="5" min="5" style="0" width="18"/>
    <col collapsed="false" customWidth="true" hidden="false" outlineLevel="0" max="6" min="6" style="0" width="13"/>
    <col collapsed="false" customWidth="true" hidden="false" outlineLevel="0" max="7" min="7" style="0" width="24"/>
    <col collapsed="false" customWidth="true" hidden="false" outlineLevel="0" max="8" min="8" style="0" width="16"/>
    <col collapsed="false" customWidth="true" hidden="false" outlineLevel="0" max="9" min="9" style="0" width="46"/>
    <col collapsed="false" customWidth="true" hidden="false" outlineLevel="0" max="10" min="10" style="0" width="12"/>
  </cols>
  <sheetData>
    <row r="1" customFormat="false" ht="24" hidden="false" customHeight="true" outlineLevel="0" collapsed="false">
      <c r="A1" s="1" t="s">
        <v>2</v>
      </c>
      <c r="B1" s="2"/>
      <c r="C1" s="2"/>
      <c r="D1" s="2"/>
      <c r="E1" s="2"/>
      <c r="F1" s="2"/>
      <c r="G1" s="2"/>
      <c r="H1" s="2"/>
      <c r="I1" s="2"/>
      <c r="J1" s="2"/>
    </row>
    <row r="2" customFormat="false" ht="15" hidden="false" customHeight="false" outlineLevel="0" collapsed="false">
      <c r="A2" s="8" t="s">
        <v>50</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31.5" hidden="false" customHeight="true" outlineLevel="0" collapsed="false">
      <c r="A4" s="9" t="s">
        <v>51</v>
      </c>
      <c r="B4" s="9" t="s">
        <v>52</v>
      </c>
      <c r="C4" s="9" t="s">
        <v>53</v>
      </c>
      <c r="D4" s="9" t="s">
        <v>54</v>
      </c>
      <c r="E4" s="9" t="s">
        <v>55</v>
      </c>
      <c r="F4" s="9" t="s">
        <v>56</v>
      </c>
      <c r="G4" s="9" t="s">
        <v>57</v>
      </c>
      <c r="H4" s="9" t="s">
        <v>58</v>
      </c>
      <c r="I4" s="9" t="s">
        <v>59</v>
      </c>
      <c r="J4" s="9" t="s">
        <v>60</v>
      </c>
    </row>
    <row r="5" customFormat="false" ht="23.85" hidden="false" customHeight="false" outlineLevel="0" collapsed="false">
      <c r="A5" s="10" t="n">
        <v>1</v>
      </c>
      <c r="B5" s="11" t="s">
        <v>61</v>
      </c>
      <c r="C5" s="11" t="s">
        <v>62</v>
      </c>
      <c r="D5" s="11" t="s">
        <v>63</v>
      </c>
      <c r="E5" s="11" t="s">
        <v>64</v>
      </c>
      <c r="F5" s="11" t="s">
        <v>65</v>
      </c>
      <c r="G5" s="12" t="s">
        <v>66</v>
      </c>
      <c r="H5" s="11" t="s">
        <v>67</v>
      </c>
      <c r="I5" s="12" t="s">
        <v>68</v>
      </c>
      <c r="J5" s="13" t="n">
        <v>100</v>
      </c>
    </row>
    <row r="6" customFormat="false" ht="15" hidden="false" customHeight="false" outlineLevel="0" collapsed="false">
      <c r="A6" s="10" t="n">
        <v>2</v>
      </c>
      <c r="B6" s="11" t="s">
        <v>69</v>
      </c>
      <c r="C6" s="11" t="s">
        <v>70</v>
      </c>
      <c r="D6" s="11" t="s">
        <v>63</v>
      </c>
      <c r="E6" s="11" t="s">
        <v>64</v>
      </c>
      <c r="F6" s="11" t="s">
        <v>65</v>
      </c>
      <c r="G6" s="12" t="s">
        <v>71</v>
      </c>
      <c r="H6" s="11" t="s">
        <v>67</v>
      </c>
      <c r="I6" s="12" t="s">
        <v>72</v>
      </c>
      <c r="J6" s="13"/>
    </row>
    <row r="7" customFormat="false" ht="15" hidden="false" customHeight="false" outlineLevel="0" collapsed="false">
      <c r="A7" s="10" t="n">
        <v>3</v>
      </c>
      <c r="B7" s="11" t="s">
        <v>73</v>
      </c>
      <c r="C7" s="11" t="s">
        <v>74</v>
      </c>
      <c r="D7" s="11" t="s">
        <v>63</v>
      </c>
      <c r="E7" s="11" t="s">
        <v>64</v>
      </c>
      <c r="F7" s="11" t="s">
        <v>65</v>
      </c>
      <c r="G7" s="12" t="s">
        <v>75</v>
      </c>
      <c r="H7" s="11" t="s">
        <v>67</v>
      </c>
      <c r="I7" s="12" t="s">
        <v>76</v>
      </c>
      <c r="J7" s="13"/>
    </row>
    <row r="8" customFormat="false" ht="15" hidden="false" customHeight="false" outlineLevel="0" collapsed="false">
      <c r="A8" s="10" t="n">
        <v>4</v>
      </c>
      <c r="B8" s="11" t="s">
        <v>77</v>
      </c>
      <c r="C8" s="11" t="s">
        <v>78</v>
      </c>
      <c r="D8" s="11" t="s">
        <v>63</v>
      </c>
      <c r="E8" s="11" t="s">
        <v>64</v>
      </c>
      <c r="F8" s="11" t="s">
        <v>65</v>
      </c>
      <c r="G8" s="12" t="s">
        <v>79</v>
      </c>
      <c r="H8" s="11" t="s">
        <v>67</v>
      </c>
      <c r="I8" s="12" t="s">
        <v>80</v>
      </c>
      <c r="J8" s="13"/>
    </row>
    <row r="9" customFormat="false" ht="15" hidden="false" customHeight="false" outlineLevel="0" collapsed="false">
      <c r="A9" s="10" t="n">
        <v>5</v>
      </c>
      <c r="B9" s="11" t="s">
        <v>81</v>
      </c>
      <c r="C9" s="11" t="s">
        <v>82</v>
      </c>
      <c r="D9" s="11" t="s">
        <v>63</v>
      </c>
      <c r="E9" s="11" t="s">
        <v>64</v>
      </c>
      <c r="F9" s="11" t="s">
        <v>65</v>
      </c>
      <c r="G9" s="12" t="s">
        <v>83</v>
      </c>
      <c r="H9" s="11" t="s">
        <v>84</v>
      </c>
      <c r="I9" s="12" t="s">
        <v>85</v>
      </c>
      <c r="J9" s="13"/>
    </row>
    <row r="10" customFormat="false" ht="15" hidden="false" customHeight="false" outlineLevel="0" collapsed="false">
      <c r="A10" s="10" t="n">
        <v>6</v>
      </c>
      <c r="B10" s="11" t="s">
        <v>86</v>
      </c>
      <c r="C10" s="11" t="s">
        <v>87</v>
      </c>
      <c r="D10" s="11" t="s">
        <v>63</v>
      </c>
      <c r="E10" s="11" t="s">
        <v>64</v>
      </c>
      <c r="F10" s="11" t="s">
        <v>65</v>
      </c>
      <c r="G10" s="12" t="s">
        <v>88</v>
      </c>
      <c r="H10" s="11" t="s">
        <v>84</v>
      </c>
      <c r="I10" s="12" t="s">
        <v>89</v>
      </c>
      <c r="J10" s="13"/>
    </row>
    <row r="11" customFormat="false" ht="15" hidden="false" customHeight="false" outlineLevel="0" collapsed="false">
      <c r="A11" s="10" t="n">
        <v>7</v>
      </c>
      <c r="B11" s="11" t="s">
        <v>90</v>
      </c>
      <c r="C11" s="11" t="s">
        <v>91</v>
      </c>
      <c r="D11" s="11" t="s">
        <v>63</v>
      </c>
      <c r="E11" s="11" t="s">
        <v>64</v>
      </c>
      <c r="F11" s="11" t="s">
        <v>65</v>
      </c>
      <c r="G11" s="12" t="s">
        <v>92</v>
      </c>
      <c r="H11" s="11" t="s">
        <v>67</v>
      </c>
      <c r="I11" s="12" t="s">
        <v>93</v>
      </c>
      <c r="J11" s="13"/>
    </row>
    <row r="12" customFormat="false" ht="15" hidden="false" customHeight="false" outlineLevel="0" collapsed="false">
      <c r="A12" s="10" t="n">
        <v>8</v>
      </c>
      <c r="B12" s="11" t="s">
        <v>94</v>
      </c>
      <c r="C12" s="11" t="s">
        <v>95</v>
      </c>
      <c r="D12" s="11" t="s">
        <v>96</v>
      </c>
      <c r="E12" s="11" t="s">
        <v>64</v>
      </c>
      <c r="F12" s="11" t="s">
        <v>65</v>
      </c>
      <c r="G12" s="12" t="s">
        <v>75</v>
      </c>
      <c r="H12" s="11" t="s">
        <v>84</v>
      </c>
      <c r="I12" s="12" t="s">
        <v>97</v>
      </c>
      <c r="J12" s="13"/>
    </row>
    <row r="13" customFormat="false" ht="15" hidden="false" customHeight="false" outlineLevel="0" collapsed="false">
      <c r="A13" s="10" t="n">
        <v>9</v>
      </c>
      <c r="B13" s="11" t="s">
        <v>98</v>
      </c>
      <c r="C13" s="11" t="s">
        <v>99</v>
      </c>
      <c r="D13" s="11" t="s">
        <v>100</v>
      </c>
      <c r="E13" s="11" t="s">
        <v>64</v>
      </c>
      <c r="F13" s="11" t="s">
        <v>65</v>
      </c>
      <c r="G13" s="12" t="s">
        <v>101</v>
      </c>
      <c r="H13" s="11" t="s">
        <v>84</v>
      </c>
      <c r="I13" s="12" t="s">
        <v>102</v>
      </c>
      <c r="J13" s="13"/>
    </row>
    <row r="14" customFormat="false" ht="15" hidden="false" customHeight="false" outlineLevel="0" collapsed="false">
      <c r="A14" s="10" t="n">
        <v>10</v>
      </c>
      <c r="B14" s="11" t="s">
        <v>103</v>
      </c>
      <c r="C14" s="11" t="s">
        <v>104</v>
      </c>
      <c r="D14" s="11" t="s">
        <v>100</v>
      </c>
      <c r="E14" s="11" t="s">
        <v>64</v>
      </c>
      <c r="F14" s="11" t="s">
        <v>65</v>
      </c>
      <c r="G14" s="12" t="s">
        <v>79</v>
      </c>
      <c r="H14" s="11" t="s">
        <v>84</v>
      </c>
      <c r="I14" s="12" t="s">
        <v>105</v>
      </c>
      <c r="J14" s="13"/>
    </row>
    <row r="15" customFormat="false" ht="15" hidden="false" customHeight="false" outlineLevel="0" collapsed="false">
      <c r="A15" s="10" t="n">
        <v>11</v>
      </c>
      <c r="B15" s="11" t="s">
        <v>106</v>
      </c>
      <c r="C15" s="11" t="s">
        <v>107</v>
      </c>
      <c r="D15" s="11" t="s">
        <v>100</v>
      </c>
      <c r="E15" s="11" t="s">
        <v>64</v>
      </c>
      <c r="F15" s="11" t="s">
        <v>65</v>
      </c>
      <c r="G15" s="12" t="s">
        <v>101</v>
      </c>
      <c r="H15" s="11" t="s">
        <v>84</v>
      </c>
      <c r="I15" s="12" t="s">
        <v>108</v>
      </c>
      <c r="J15" s="13"/>
    </row>
    <row r="16" customFormat="false" ht="15" hidden="false" customHeight="false" outlineLevel="0" collapsed="false">
      <c r="A16" s="10" t="n">
        <v>12</v>
      </c>
      <c r="B16" s="11" t="s">
        <v>109</v>
      </c>
      <c r="C16" s="11" t="s">
        <v>110</v>
      </c>
      <c r="D16" s="11" t="s">
        <v>111</v>
      </c>
      <c r="E16" s="11" t="s">
        <v>64</v>
      </c>
      <c r="F16" s="11" t="s">
        <v>65</v>
      </c>
      <c r="G16" s="12" t="s">
        <v>75</v>
      </c>
      <c r="H16" s="11" t="s">
        <v>84</v>
      </c>
      <c r="I16" s="12" t="s">
        <v>112</v>
      </c>
      <c r="J16" s="13"/>
    </row>
    <row r="17" customFormat="false" ht="15" hidden="false" customHeight="false" outlineLevel="0" collapsed="false">
      <c r="A17" s="10" t="n">
        <v>13</v>
      </c>
      <c r="B17" s="11" t="s">
        <v>113</v>
      </c>
      <c r="C17" s="11" t="s">
        <v>114</v>
      </c>
      <c r="D17" s="11" t="s">
        <v>111</v>
      </c>
      <c r="E17" s="11" t="s">
        <v>64</v>
      </c>
      <c r="F17" s="11" t="s">
        <v>65</v>
      </c>
      <c r="G17" s="12" t="s">
        <v>75</v>
      </c>
      <c r="H17" s="11" t="s">
        <v>84</v>
      </c>
      <c r="I17" s="12" t="s">
        <v>115</v>
      </c>
      <c r="J17" s="13"/>
    </row>
    <row r="18" customFormat="false" ht="15" hidden="false" customHeight="false" outlineLevel="0" collapsed="false">
      <c r="A18" s="10" t="n">
        <v>14</v>
      </c>
      <c r="B18" s="11" t="s">
        <v>116</v>
      </c>
      <c r="C18" s="11" t="s">
        <v>117</v>
      </c>
      <c r="D18" s="11" t="s">
        <v>111</v>
      </c>
      <c r="E18" s="11" t="s">
        <v>64</v>
      </c>
      <c r="F18" s="11" t="s">
        <v>65</v>
      </c>
      <c r="G18" s="12" t="s">
        <v>101</v>
      </c>
      <c r="H18" s="11" t="s">
        <v>118</v>
      </c>
      <c r="I18" s="12" t="s">
        <v>119</v>
      </c>
      <c r="J18" s="13"/>
    </row>
    <row r="19" customFormat="false" ht="15" hidden="false" customHeight="false" outlineLevel="0" collapsed="false">
      <c r="A19" s="10" t="n">
        <v>15</v>
      </c>
      <c r="B19" s="11" t="s">
        <v>120</v>
      </c>
      <c r="C19" s="11" t="s">
        <v>121</v>
      </c>
      <c r="D19" s="11" t="s">
        <v>63</v>
      </c>
      <c r="E19" s="11" t="s">
        <v>122</v>
      </c>
      <c r="F19" s="11" t="s">
        <v>123</v>
      </c>
      <c r="G19" s="12" t="s">
        <v>124</v>
      </c>
      <c r="H19" s="11" t="s">
        <v>67</v>
      </c>
      <c r="I19" s="12" t="s">
        <v>125</v>
      </c>
      <c r="J19" s="13"/>
    </row>
    <row r="20" customFormat="false" ht="15" hidden="false" customHeight="false" outlineLevel="0" collapsed="false">
      <c r="A20" s="10" t="n">
        <v>16</v>
      </c>
      <c r="B20" s="11" t="s">
        <v>126</v>
      </c>
      <c r="C20" s="11" t="s">
        <v>127</v>
      </c>
      <c r="D20" s="11" t="s">
        <v>63</v>
      </c>
      <c r="E20" s="11" t="s">
        <v>122</v>
      </c>
      <c r="F20" s="11" t="s">
        <v>101</v>
      </c>
      <c r="G20" s="12" t="s">
        <v>128</v>
      </c>
      <c r="H20" s="11" t="s">
        <v>67</v>
      </c>
      <c r="I20" s="12" t="s">
        <v>129</v>
      </c>
      <c r="J20" s="13"/>
    </row>
    <row r="21" customFormat="false" ht="15" hidden="false" customHeight="false" outlineLevel="0" collapsed="false">
      <c r="A21" s="10" t="n">
        <v>17</v>
      </c>
      <c r="B21" s="11" t="s">
        <v>130</v>
      </c>
      <c r="C21" s="11" t="s">
        <v>131</v>
      </c>
      <c r="D21" s="11" t="s">
        <v>63</v>
      </c>
      <c r="E21" s="11" t="s">
        <v>122</v>
      </c>
      <c r="F21" s="11" t="s">
        <v>123</v>
      </c>
      <c r="G21" s="12" t="s">
        <v>92</v>
      </c>
      <c r="H21" s="11" t="s">
        <v>67</v>
      </c>
      <c r="I21" s="12" t="s">
        <v>132</v>
      </c>
      <c r="J21" s="13"/>
    </row>
    <row r="22" customFormat="false" ht="15" hidden="false" customHeight="false" outlineLevel="0" collapsed="false">
      <c r="A22" s="10" t="n">
        <v>18</v>
      </c>
      <c r="B22" s="11" t="s">
        <v>133</v>
      </c>
      <c r="C22" s="11" t="s">
        <v>134</v>
      </c>
      <c r="D22" s="11" t="s">
        <v>63</v>
      </c>
      <c r="E22" s="11" t="s">
        <v>122</v>
      </c>
      <c r="F22" s="11" t="s">
        <v>123</v>
      </c>
      <c r="G22" s="12" t="s">
        <v>92</v>
      </c>
      <c r="H22" s="11" t="s">
        <v>84</v>
      </c>
      <c r="I22" s="12" t="s">
        <v>135</v>
      </c>
      <c r="J22" s="13"/>
    </row>
    <row r="23" customFormat="false" ht="15" hidden="false" customHeight="false" outlineLevel="0" collapsed="false">
      <c r="A23" s="10" t="n">
        <v>19</v>
      </c>
      <c r="B23" s="11" t="s">
        <v>136</v>
      </c>
      <c r="C23" s="11" t="s">
        <v>137</v>
      </c>
      <c r="D23" s="11" t="s">
        <v>63</v>
      </c>
      <c r="E23" s="11" t="s">
        <v>122</v>
      </c>
      <c r="F23" s="11" t="s">
        <v>123</v>
      </c>
      <c r="G23" s="12" t="s">
        <v>138</v>
      </c>
      <c r="H23" s="11" t="s">
        <v>67</v>
      </c>
      <c r="I23" s="12" t="s">
        <v>139</v>
      </c>
      <c r="J23" s="13"/>
    </row>
    <row r="24" customFormat="false" ht="15" hidden="false" customHeight="false" outlineLevel="0" collapsed="false">
      <c r="A24" s="10" t="n">
        <v>20</v>
      </c>
      <c r="B24" s="11" t="s">
        <v>140</v>
      </c>
      <c r="C24" s="11" t="s">
        <v>141</v>
      </c>
      <c r="D24" s="11" t="s">
        <v>63</v>
      </c>
      <c r="E24" s="11" t="s">
        <v>122</v>
      </c>
      <c r="F24" s="11" t="s">
        <v>142</v>
      </c>
      <c r="G24" s="12" t="s">
        <v>143</v>
      </c>
      <c r="H24" s="11" t="s">
        <v>67</v>
      </c>
      <c r="I24" s="12" t="s">
        <v>144</v>
      </c>
      <c r="J24" s="13"/>
    </row>
    <row r="25" customFormat="false" ht="15" hidden="false" customHeight="false" outlineLevel="0" collapsed="false">
      <c r="A25" s="10" t="n">
        <v>21</v>
      </c>
      <c r="B25" s="11" t="s">
        <v>145</v>
      </c>
      <c r="C25" s="11" t="s">
        <v>146</v>
      </c>
      <c r="D25" s="11" t="s">
        <v>63</v>
      </c>
      <c r="E25" s="11" t="s">
        <v>122</v>
      </c>
      <c r="F25" s="11" t="s">
        <v>65</v>
      </c>
      <c r="G25" s="12" t="s">
        <v>147</v>
      </c>
      <c r="H25" s="11" t="s">
        <v>67</v>
      </c>
      <c r="I25" s="12" t="s">
        <v>148</v>
      </c>
      <c r="J25" s="13"/>
    </row>
    <row r="26" customFormat="false" ht="15" hidden="false" customHeight="false" outlineLevel="0" collapsed="false">
      <c r="A26" s="10" t="n">
        <v>22</v>
      </c>
      <c r="B26" s="11" t="s">
        <v>149</v>
      </c>
      <c r="C26" s="11" t="s">
        <v>150</v>
      </c>
      <c r="D26" s="11" t="s">
        <v>63</v>
      </c>
      <c r="E26" s="11" t="s">
        <v>122</v>
      </c>
      <c r="F26" s="11" t="s">
        <v>123</v>
      </c>
      <c r="G26" s="12" t="s">
        <v>92</v>
      </c>
      <c r="H26" s="11" t="s">
        <v>84</v>
      </c>
      <c r="I26" s="12" t="s">
        <v>151</v>
      </c>
      <c r="J26" s="13"/>
    </row>
    <row r="27" customFormat="false" ht="15" hidden="false" customHeight="false" outlineLevel="0" collapsed="false">
      <c r="A27" s="10" t="n">
        <v>23</v>
      </c>
      <c r="B27" s="11" t="s">
        <v>152</v>
      </c>
      <c r="C27" s="11" t="s">
        <v>153</v>
      </c>
      <c r="D27" s="11" t="s">
        <v>63</v>
      </c>
      <c r="E27" s="11" t="s">
        <v>122</v>
      </c>
      <c r="F27" s="11" t="s">
        <v>101</v>
      </c>
      <c r="G27" s="12" t="s">
        <v>154</v>
      </c>
      <c r="H27" s="11" t="s">
        <v>84</v>
      </c>
      <c r="I27" s="12" t="s">
        <v>155</v>
      </c>
      <c r="J27" s="13"/>
    </row>
    <row r="28" customFormat="false" ht="15" hidden="false" customHeight="false" outlineLevel="0" collapsed="false">
      <c r="A28" s="10" t="n">
        <v>24</v>
      </c>
      <c r="B28" s="11" t="s">
        <v>156</v>
      </c>
      <c r="C28" s="11" t="s">
        <v>157</v>
      </c>
      <c r="D28" s="11" t="s">
        <v>63</v>
      </c>
      <c r="E28" s="11" t="s">
        <v>122</v>
      </c>
      <c r="F28" s="11" t="s">
        <v>101</v>
      </c>
      <c r="G28" s="12" t="s">
        <v>123</v>
      </c>
      <c r="H28" s="11" t="s">
        <v>84</v>
      </c>
      <c r="I28" s="12" t="s">
        <v>158</v>
      </c>
      <c r="J28" s="13"/>
    </row>
    <row r="29" customFormat="false" ht="15" hidden="false" customHeight="false" outlineLevel="0" collapsed="false">
      <c r="A29" s="10" t="n">
        <v>25</v>
      </c>
      <c r="B29" s="11" t="s">
        <v>159</v>
      </c>
      <c r="C29" s="11" t="s">
        <v>160</v>
      </c>
      <c r="D29" s="11" t="s">
        <v>96</v>
      </c>
      <c r="E29" s="11" t="s">
        <v>122</v>
      </c>
      <c r="F29" s="11" t="s">
        <v>123</v>
      </c>
      <c r="G29" s="12" t="s">
        <v>75</v>
      </c>
      <c r="H29" s="11" t="s">
        <v>84</v>
      </c>
      <c r="I29" s="12" t="s">
        <v>161</v>
      </c>
      <c r="J29" s="13"/>
    </row>
    <row r="30" customFormat="false" ht="15" hidden="false" customHeight="false" outlineLevel="0" collapsed="false">
      <c r="A30" s="10" t="n">
        <v>26</v>
      </c>
      <c r="B30" s="11" t="s">
        <v>162</v>
      </c>
      <c r="C30" s="11" t="s">
        <v>163</v>
      </c>
      <c r="D30" s="11" t="s">
        <v>96</v>
      </c>
      <c r="E30" s="11" t="s">
        <v>122</v>
      </c>
      <c r="F30" s="11" t="s">
        <v>123</v>
      </c>
      <c r="G30" s="12" t="s">
        <v>92</v>
      </c>
      <c r="H30" s="11" t="s">
        <v>84</v>
      </c>
      <c r="I30" s="12" t="s">
        <v>164</v>
      </c>
      <c r="J30" s="13"/>
    </row>
    <row r="31" customFormat="false" ht="15" hidden="false" customHeight="false" outlineLevel="0" collapsed="false">
      <c r="A31" s="10" t="n">
        <v>27</v>
      </c>
      <c r="B31" s="11" t="s">
        <v>165</v>
      </c>
      <c r="C31" s="11" t="s">
        <v>166</v>
      </c>
      <c r="D31" s="11" t="s">
        <v>96</v>
      </c>
      <c r="E31" s="11" t="s">
        <v>167</v>
      </c>
      <c r="F31" s="11" t="s">
        <v>101</v>
      </c>
      <c r="G31" s="12" t="s">
        <v>168</v>
      </c>
      <c r="H31" s="11" t="s">
        <v>169</v>
      </c>
      <c r="I31" s="12" t="s">
        <v>170</v>
      </c>
      <c r="J31" s="13"/>
    </row>
    <row r="32" customFormat="false" ht="15" hidden="false" customHeight="false" outlineLevel="0" collapsed="false">
      <c r="A32" s="10" t="n">
        <v>28</v>
      </c>
      <c r="B32" s="11" t="s">
        <v>171</v>
      </c>
      <c r="C32" s="11" t="s">
        <v>172</v>
      </c>
      <c r="D32" s="11" t="s">
        <v>100</v>
      </c>
      <c r="E32" s="11" t="s">
        <v>122</v>
      </c>
      <c r="F32" s="11" t="s">
        <v>101</v>
      </c>
      <c r="G32" s="12" t="s">
        <v>173</v>
      </c>
      <c r="H32" s="11" t="s">
        <v>174</v>
      </c>
      <c r="I32" s="12" t="s">
        <v>175</v>
      </c>
      <c r="J32" s="13"/>
    </row>
    <row r="33" customFormat="false" ht="15" hidden="false" customHeight="false" outlineLevel="0" collapsed="false">
      <c r="A33" s="10" t="n">
        <v>29</v>
      </c>
      <c r="B33" s="11" t="s">
        <v>176</v>
      </c>
      <c r="C33" s="11" t="s">
        <v>177</v>
      </c>
      <c r="D33" s="11" t="s">
        <v>111</v>
      </c>
      <c r="E33" s="11" t="s">
        <v>122</v>
      </c>
      <c r="F33" s="11" t="s">
        <v>123</v>
      </c>
      <c r="G33" s="12" t="s">
        <v>75</v>
      </c>
      <c r="H33" s="11" t="s">
        <v>84</v>
      </c>
      <c r="I33" s="12" t="s">
        <v>178</v>
      </c>
      <c r="J33" s="13"/>
    </row>
    <row r="34" customFormat="false" ht="15" hidden="false" customHeight="false" outlineLevel="0" collapsed="false">
      <c r="A34" s="10" t="n">
        <v>30</v>
      </c>
      <c r="B34" s="11" t="s">
        <v>179</v>
      </c>
      <c r="C34" s="11" t="s">
        <v>180</v>
      </c>
      <c r="D34" s="11" t="s">
        <v>181</v>
      </c>
      <c r="E34" s="11" t="s">
        <v>122</v>
      </c>
      <c r="F34" s="11" t="s">
        <v>101</v>
      </c>
      <c r="G34" s="12" t="s">
        <v>123</v>
      </c>
      <c r="H34" s="11" t="s">
        <v>174</v>
      </c>
      <c r="I34" s="12" t="s">
        <v>182</v>
      </c>
      <c r="J34" s="13"/>
    </row>
    <row r="35" customFormat="false" ht="15" hidden="false" customHeight="false" outlineLevel="0" collapsed="false">
      <c r="A35" s="10" t="n">
        <v>31</v>
      </c>
      <c r="B35" s="11" t="s">
        <v>183</v>
      </c>
      <c r="C35" s="11" t="s">
        <v>184</v>
      </c>
      <c r="D35" s="11" t="s">
        <v>96</v>
      </c>
      <c r="E35" s="11" t="s">
        <v>185</v>
      </c>
      <c r="F35" s="11" t="s">
        <v>65</v>
      </c>
      <c r="G35" s="12" t="s">
        <v>66</v>
      </c>
      <c r="H35" s="11" t="s">
        <v>84</v>
      </c>
      <c r="I35" s="12" t="s">
        <v>186</v>
      </c>
      <c r="J35" s="13"/>
    </row>
    <row r="36" customFormat="false" ht="15" hidden="false" customHeight="false" outlineLevel="0" collapsed="false">
      <c r="A36" s="10" t="n">
        <v>32</v>
      </c>
      <c r="B36" s="11" t="s">
        <v>187</v>
      </c>
      <c r="C36" s="11" t="s">
        <v>188</v>
      </c>
      <c r="D36" s="11" t="s">
        <v>96</v>
      </c>
      <c r="E36" s="11" t="s">
        <v>185</v>
      </c>
      <c r="F36" s="11" t="s">
        <v>101</v>
      </c>
      <c r="G36" s="12" t="s">
        <v>189</v>
      </c>
      <c r="H36" s="11" t="s">
        <v>84</v>
      </c>
      <c r="I36" s="12" t="s">
        <v>190</v>
      </c>
      <c r="J36" s="13"/>
    </row>
    <row r="37" customFormat="false" ht="15" hidden="false" customHeight="false" outlineLevel="0" collapsed="false">
      <c r="A37" s="10" t="n">
        <v>33</v>
      </c>
      <c r="B37" s="11" t="s">
        <v>191</v>
      </c>
      <c r="C37" s="11" t="s">
        <v>192</v>
      </c>
      <c r="D37" s="11" t="s">
        <v>96</v>
      </c>
      <c r="E37" s="11" t="s">
        <v>185</v>
      </c>
      <c r="F37" s="11" t="s">
        <v>65</v>
      </c>
      <c r="G37" s="12" t="s">
        <v>75</v>
      </c>
      <c r="H37" s="11" t="s">
        <v>84</v>
      </c>
      <c r="I37" s="12" t="s">
        <v>193</v>
      </c>
      <c r="J37" s="13"/>
    </row>
    <row r="38" customFormat="false" ht="15" hidden="false" customHeight="false" outlineLevel="0" collapsed="false">
      <c r="A38" s="10" t="n">
        <v>34</v>
      </c>
      <c r="B38" s="11" t="s">
        <v>194</v>
      </c>
      <c r="C38" s="11" t="s">
        <v>195</v>
      </c>
      <c r="D38" s="11" t="s">
        <v>63</v>
      </c>
      <c r="E38" s="11" t="s">
        <v>185</v>
      </c>
      <c r="F38" s="11" t="s">
        <v>65</v>
      </c>
      <c r="G38" s="12" t="s">
        <v>75</v>
      </c>
      <c r="H38" s="11" t="s">
        <v>84</v>
      </c>
      <c r="I38" s="12" t="s">
        <v>196</v>
      </c>
      <c r="J38" s="13"/>
    </row>
    <row r="39" customFormat="false" ht="15" hidden="false" customHeight="false" outlineLevel="0" collapsed="false">
      <c r="A39" s="10" t="n">
        <v>35</v>
      </c>
      <c r="B39" s="11" t="s">
        <v>197</v>
      </c>
      <c r="C39" s="11" t="s">
        <v>198</v>
      </c>
      <c r="D39" s="11" t="s">
        <v>96</v>
      </c>
      <c r="E39" s="11" t="s">
        <v>185</v>
      </c>
      <c r="F39" s="11" t="s">
        <v>65</v>
      </c>
      <c r="G39" s="12" t="s">
        <v>75</v>
      </c>
      <c r="H39" s="11" t="s">
        <v>84</v>
      </c>
      <c r="I39" s="12" t="s">
        <v>199</v>
      </c>
      <c r="J39" s="13"/>
    </row>
    <row r="40" customFormat="false" ht="15" hidden="false" customHeight="false" outlineLevel="0" collapsed="false">
      <c r="A40" s="10" t="n">
        <v>36</v>
      </c>
      <c r="B40" s="11" t="s">
        <v>200</v>
      </c>
      <c r="C40" s="11" t="s">
        <v>201</v>
      </c>
      <c r="D40" s="11" t="s">
        <v>96</v>
      </c>
      <c r="E40" s="11" t="s">
        <v>185</v>
      </c>
      <c r="F40" s="11" t="s">
        <v>202</v>
      </c>
      <c r="G40" s="12" t="s">
        <v>203</v>
      </c>
      <c r="H40" s="11" t="s">
        <v>84</v>
      </c>
      <c r="I40" s="12" t="s">
        <v>204</v>
      </c>
      <c r="J40" s="13"/>
    </row>
    <row r="41" customFormat="false" ht="15" hidden="false" customHeight="false" outlineLevel="0" collapsed="false">
      <c r="A41" s="10" t="n">
        <v>37</v>
      </c>
      <c r="B41" s="11" t="s">
        <v>205</v>
      </c>
      <c r="C41" s="11" t="s">
        <v>206</v>
      </c>
      <c r="D41" s="11" t="s">
        <v>96</v>
      </c>
      <c r="E41" s="11" t="s">
        <v>185</v>
      </c>
      <c r="F41" s="11" t="s">
        <v>101</v>
      </c>
      <c r="G41" s="12" t="s">
        <v>207</v>
      </c>
      <c r="H41" s="11" t="s">
        <v>84</v>
      </c>
      <c r="I41" s="12" t="s">
        <v>208</v>
      </c>
      <c r="J41" s="13"/>
    </row>
    <row r="42" customFormat="false" ht="15" hidden="false" customHeight="false" outlineLevel="0" collapsed="false">
      <c r="A42" s="10" t="n">
        <v>38</v>
      </c>
      <c r="B42" s="11" t="s">
        <v>209</v>
      </c>
      <c r="C42" s="11" t="s">
        <v>210</v>
      </c>
      <c r="D42" s="11" t="s">
        <v>111</v>
      </c>
      <c r="E42" s="11" t="s">
        <v>185</v>
      </c>
      <c r="F42" s="11" t="s">
        <v>65</v>
      </c>
      <c r="G42" s="12" t="s">
        <v>118</v>
      </c>
      <c r="H42" s="11" t="s">
        <v>174</v>
      </c>
      <c r="I42" s="12" t="s">
        <v>211</v>
      </c>
      <c r="J42" s="13"/>
    </row>
    <row r="43" customFormat="false" ht="15" hidden="false" customHeight="false" outlineLevel="0" collapsed="false">
      <c r="A43" s="10" t="n">
        <v>39</v>
      </c>
      <c r="B43" s="11" t="s">
        <v>212</v>
      </c>
      <c r="C43" s="11" t="s">
        <v>213</v>
      </c>
      <c r="D43" s="11" t="s">
        <v>63</v>
      </c>
      <c r="E43" s="11" t="s">
        <v>214</v>
      </c>
      <c r="F43" s="11" t="s">
        <v>215</v>
      </c>
      <c r="G43" s="12" t="s">
        <v>216</v>
      </c>
      <c r="H43" s="11" t="s">
        <v>67</v>
      </c>
      <c r="I43" s="12" t="s">
        <v>217</v>
      </c>
      <c r="J43" s="13"/>
    </row>
    <row r="44" customFormat="false" ht="15" hidden="false" customHeight="false" outlineLevel="0" collapsed="false">
      <c r="A44" s="10" t="n">
        <v>40</v>
      </c>
      <c r="B44" s="11" t="s">
        <v>218</v>
      </c>
      <c r="C44" s="11" t="s">
        <v>219</v>
      </c>
      <c r="D44" s="11" t="s">
        <v>63</v>
      </c>
      <c r="E44" s="11" t="s">
        <v>214</v>
      </c>
      <c r="F44" s="11" t="s">
        <v>215</v>
      </c>
      <c r="G44" s="12" t="s">
        <v>220</v>
      </c>
      <c r="H44" s="11" t="s">
        <v>67</v>
      </c>
      <c r="I44" s="12" t="s">
        <v>221</v>
      </c>
      <c r="J44" s="13"/>
    </row>
    <row r="45" customFormat="false" ht="15" hidden="false" customHeight="false" outlineLevel="0" collapsed="false">
      <c r="A45" s="10" t="n">
        <v>41</v>
      </c>
      <c r="B45" s="11" t="s">
        <v>222</v>
      </c>
      <c r="C45" s="11" t="s">
        <v>223</v>
      </c>
      <c r="D45" s="11" t="s">
        <v>63</v>
      </c>
      <c r="E45" s="11" t="s">
        <v>214</v>
      </c>
      <c r="F45" s="11" t="s">
        <v>215</v>
      </c>
      <c r="G45" s="12" t="s">
        <v>224</v>
      </c>
      <c r="H45" s="11" t="s">
        <v>84</v>
      </c>
      <c r="I45" s="12" t="s">
        <v>225</v>
      </c>
      <c r="J45" s="13"/>
    </row>
    <row r="46" customFormat="false" ht="15" hidden="false" customHeight="false" outlineLevel="0" collapsed="false">
      <c r="A46" s="10" t="n">
        <v>42</v>
      </c>
      <c r="B46" s="11" t="s">
        <v>226</v>
      </c>
      <c r="C46" s="11" t="s">
        <v>227</v>
      </c>
      <c r="D46" s="11" t="s">
        <v>63</v>
      </c>
      <c r="E46" s="11" t="s">
        <v>214</v>
      </c>
      <c r="F46" s="11" t="s">
        <v>224</v>
      </c>
      <c r="G46" s="12" t="s">
        <v>228</v>
      </c>
      <c r="H46" s="11" t="s">
        <v>84</v>
      </c>
      <c r="I46" s="12" t="s">
        <v>229</v>
      </c>
      <c r="J46" s="13"/>
    </row>
    <row r="47" customFormat="false" ht="15" hidden="false" customHeight="false" outlineLevel="0" collapsed="false">
      <c r="A47" s="10" t="n">
        <v>43</v>
      </c>
      <c r="B47" s="11" t="s">
        <v>230</v>
      </c>
      <c r="C47" s="11" t="s">
        <v>231</v>
      </c>
      <c r="D47" s="11" t="s">
        <v>63</v>
      </c>
      <c r="E47" s="11" t="s">
        <v>214</v>
      </c>
      <c r="F47" s="11" t="s">
        <v>215</v>
      </c>
      <c r="G47" s="12" t="s">
        <v>224</v>
      </c>
      <c r="H47" s="11" t="s">
        <v>84</v>
      </c>
      <c r="I47" s="12" t="s">
        <v>232</v>
      </c>
      <c r="J47" s="13"/>
    </row>
    <row r="48" customFormat="false" ht="15" hidden="false" customHeight="false" outlineLevel="0" collapsed="false">
      <c r="A48" s="10" t="n">
        <v>44</v>
      </c>
      <c r="B48" s="11" t="s">
        <v>233</v>
      </c>
      <c r="C48" s="11" t="s">
        <v>234</v>
      </c>
      <c r="D48" s="11" t="s">
        <v>63</v>
      </c>
      <c r="E48" s="11" t="s">
        <v>214</v>
      </c>
      <c r="F48" s="11" t="s">
        <v>215</v>
      </c>
      <c r="G48" s="12" t="s">
        <v>224</v>
      </c>
      <c r="H48" s="11" t="s">
        <v>84</v>
      </c>
      <c r="I48" s="12" t="s">
        <v>235</v>
      </c>
      <c r="J48" s="13"/>
    </row>
    <row r="49" customFormat="false" ht="15" hidden="false" customHeight="false" outlineLevel="0" collapsed="false">
      <c r="A49" s="10" t="n">
        <v>45</v>
      </c>
      <c r="B49" s="11" t="s">
        <v>236</v>
      </c>
      <c r="C49" s="11" t="s">
        <v>237</v>
      </c>
      <c r="D49" s="11" t="s">
        <v>96</v>
      </c>
      <c r="E49" s="11" t="s">
        <v>214</v>
      </c>
      <c r="F49" s="11" t="s">
        <v>215</v>
      </c>
      <c r="G49" s="12" t="s">
        <v>216</v>
      </c>
      <c r="H49" s="11" t="s">
        <v>84</v>
      </c>
      <c r="I49" s="12" t="s">
        <v>238</v>
      </c>
      <c r="J49" s="13"/>
    </row>
    <row r="50" customFormat="false" ht="15" hidden="false" customHeight="false" outlineLevel="0" collapsed="false">
      <c r="A50" s="10" t="n">
        <v>46</v>
      </c>
      <c r="B50" s="11" t="s">
        <v>239</v>
      </c>
      <c r="C50" s="11" t="s">
        <v>240</v>
      </c>
      <c r="D50" s="11" t="s">
        <v>96</v>
      </c>
      <c r="E50" s="11" t="s">
        <v>214</v>
      </c>
      <c r="F50" s="11" t="s">
        <v>215</v>
      </c>
      <c r="G50" s="12" t="s">
        <v>220</v>
      </c>
      <c r="H50" s="11" t="s">
        <v>84</v>
      </c>
      <c r="I50" s="12" t="s">
        <v>241</v>
      </c>
      <c r="J50" s="13"/>
    </row>
    <row r="51" customFormat="false" ht="15" hidden="false" customHeight="false" outlineLevel="0" collapsed="false">
      <c r="A51" s="10" t="n">
        <v>47</v>
      </c>
      <c r="B51" s="11" t="s">
        <v>242</v>
      </c>
      <c r="C51" s="11" t="s">
        <v>243</v>
      </c>
      <c r="D51" s="11" t="s">
        <v>100</v>
      </c>
      <c r="E51" s="11" t="s">
        <v>214</v>
      </c>
      <c r="F51" s="11" t="s">
        <v>215</v>
      </c>
      <c r="G51" s="12" t="s">
        <v>216</v>
      </c>
      <c r="H51" s="11" t="s">
        <v>84</v>
      </c>
      <c r="I51" s="12" t="s">
        <v>244</v>
      </c>
      <c r="J51" s="13"/>
    </row>
    <row r="52" customFormat="false" ht="15" hidden="false" customHeight="false" outlineLevel="0" collapsed="false">
      <c r="A52" s="10" t="n">
        <v>48</v>
      </c>
      <c r="B52" s="11" t="s">
        <v>245</v>
      </c>
      <c r="C52" s="11" t="s">
        <v>246</v>
      </c>
      <c r="D52" s="11" t="s">
        <v>111</v>
      </c>
      <c r="E52" s="11" t="s">
        <v>214</v>
      </c>
      <c r="F52" s="11" t="s">
        <v>215</v>
      </c>
      <c r="G52" s="12" t="s">
        <v>247</v>
      </c>
      <c r="H52" s="11" t="s">
        <v>84</v>
      </c>
      <c r="I52" s="12" t="s">
        <v>248</v>
      </c>
      <c r="J52" s="13"/>
    </row>
    <row r="53" customFormat="false" ht="15" hidden="false" customHeight="false" outlineLevel="0" collapsed="false">
      <c r="A53" s="10" t="n">
        <v>49</v>
      </c>
      <c r="B53" s="11" t="s">
        <v>249</v>
      </c>
      <c r="C53" s="11" t="s">
        <v>250</v>
      </c>
      <c r="D53" s="11" t="s">
        <v>111</v>
      </c>
      <c r="E53" s="11" t="s">
        <v>214</v>
      </c>
      <c r="F53" s="11" t="s">
        <v>215</v>
      </c>
      <c r="G53" s="12" t="s">
        <v>216</v>
      </c>
      <c r="H53" s="11" t="s">
        <v>84</v>
      </c>
      <c r="I53" s="12" t="s">
        <v>251</v>
      </c>
      <c r="J53" s="13"/>
    </row>
    <row r="54" customFormat="false" ht="15" hidden="false" customHeight="false" outlineLevel="0" collapsed="false">
      <c r="A54" s="10" t="n">
        <v>50</v>
      </c>
      <c r="B54" s="11" t="s">
        <v>252</v>
      </c>
      <c r="C54" s="11" t="s">
        <v>253</v>
      </c>
      <c r="D54" s="11" t="s">
        <v>254</v>
      </c>
      <c r="E54" s="11" t="s">
        <v>214</v>
      </c>
      <c r="F54" s="11" t="s">
        <v>215</v>
      </c>
      <c r="G54" s="12" t="s">
        <v>247</v>
      </c>
      <c r="H54" s="11" t="s">
        <v>84</v>
      </c>
      <c r="I54" s="12" t="s">
        <v>255</v>
      </c>
      <c r="J54" s="13"/>
    </row>
    <row r="55" customFormat="false" ht="15" hidden="false" customHeight="false" outlineLevel="0" collapsed="false">
      <c r="A55" s="10" t="n">
        <v>51</v>
      </c>
      <c r="B55" s="11" t="s">
        <v>256</v>
      </c>
      <c r="C55" s="11" t="s">
        <v>257</v>
      </c>
      <c r="D55" s="11" t="s">
        <v>254</v>
      </c>
      <c r="E55" s="11" t="s">
        <v>214</v>
      </c>
      <c r="F55" s="11" t="s">
        <v>215</v>
      </c>
      <c r="G55" s="12" t="s">
        <v>216</v>
      </c>
      <c r="H55" s="11" t="s">
        <v>84</v>
      </c>
      <c r="I55" s="12" t="s">
        <v>258</v>
      </c>
      <c r="J55" s="13"/>
    </row>
    <row r="56" customFormat="false" ht="15" hidden="false" customHeight="false" outlineLevel="0" collapsed="false">
      <c r="A56" s="10" t="n">
        <v>52</v>
      </c>
      <c r="B56" s="11" t="s">
        <v>259</v>
      </c>
      <c r="C56" s="11" t="s">
        <v>260</v>
      </c>
      <c r="D56" s="11" t="s">
        <v>254</v>
      </c>
      <c r="E56" s="11" t="s">
        <v>214</v>
      </c>
      <c r="F56" s="11" t="s">
        <v>215</v>
      </c>
      <c r="G56" s="12" t="s">
        <v>216</v>
      </c>
      <c r="H56" s="11" t="s">
        <v>84</v>
      </c>
      <c r="I56" s="12" t="s">
        <v>261</v>
      </c>
      <c r="J56" s="13"/>
    </row>
    <row r="57" customFormat="false" ht="15" hidden="false" customHeight="false" outlineLevel="0" collapsed="false">
      <c r="A57" s="10" t="n">
        <v>53</v>
      </c>
      <c r="B57" s="11" t="s">
        <v>262</v>
      </c>
      <c r="C57" s="11" t="s">
        <v>263</v>
      </c>
      <c r="D57" s="11" t="s">
        <v>181</v>
      </c>
      <c r="E57" s="11" t="s">
        <v>214</v>
      </c>
      <c r="F57" s="11" t="s">
        <v>215</v>
      </c>
      <c r="G57" s="12" t="s">
        <v>264</v>
      </c>
      <c r="H57" s="11" t="s">
        <v>174</v>
      </c>
      <c r="I57" s="12" t="s">
        <v>265</v>
      </c>
      <c r="J57" s="13"/>
    </row>
    <row r="58" customFormat="false" ht="15" hidden="false" customHeight="false" outlineLevel="0" collapsed="false">
      <c r="A58" s="10" t="n">
        <v>54</v>
      </c>
      <c r="B58" s="11" t="s">
        <v>266</v>
      </c>
      <c r="C58" s="11" t="s">
        <v>267</v>
      </c>
      <c r="D58" s="11" t="s">
        <v>96</v>
      </c>
      <c r="E58" s="11" t="s">
        <v>214</v>
      </c>
      <c r="F58" s="11" t="s">
        <v>215</v>
      </c>
      <c r="G58" s="12" t="s">
        <v>264</v>
      </c>
      <c r="H58" s="11" t="s">
        <v>174</v>
      </c>
      <c r="I58" s="12" t="s">
        <v>268</v>
      </c>
      <c r="J58" s="13"/>
    </row>
    <row r="59" customFormat="false" ht="15" hidden="false" customHeight="false" outlineLevel="0" collapsed="false">
      <c r="A59" s="10" t="n">
        <v>55</v>
      </c>
      <c r="B59" s="11" t="s">
        <v>269</v>
      </c>
      <c r="C59" s="11" t="s">
        <v>270</v>
      </c>
      <c r="D59" s="11" t="s">
        <v>100</v>
      </c>
      <c r="E59" s="11" t="s">
        <v>214</v>
      </c>
      <c r="F59" s="11" t="s">
        <v>215</v>
      </c>
      <c r="G59" s="12" t="s">
        <v>264</v>
      </c>
      <c r="H59" s="11" t="s">
        <v>174</v>
      </c>
      <c r="I59" s="12" t="s">
        <v>271</v>
      </c>
      <c r="J59" s="13"/>
    </row>
    <row r="60" customFormat="false" ht="15" hidden="false" customHeight="false" outlineLevel="0" collapsed="false">
      <c r="A60" s="10" t="n">
        <v>56</v>
      </c>
      <c r="B60" s="11" t="s">
        <v>272</v>
      </c>
      <c r="C60" s="11" t="s">
        <v>273</v>
      </c>
      <c r="D60" s="11" t="s">
        <v>274</v>
      </c>
      <c r="E60" s="11" t="s">
        <v>214</v>
      </c>
      <c r="F60" s="11" t="s">
        <v>215</v>
      </c>
      <c r="G60" s="12" t="s">
        <v>216</v>
      </c>
      <c r="H60" s="11" t="s">
        <v>84</v>
      </c>
      <c r="I60" s="12" t="s">
        <v>275</v>
      </c>
      <c r="J60" s="13"/>
    </row>
    <row r="61" customFormat="false" ht="15" hidden="false" customHeight="false" outlineLevel="0" collapsed="false">
      <c r="A61" s="10" t="n">
        <v>57</v>
      </c>
      <c r="B61" s="11" t="s">
        <v>276</v>
      </c>
      <c r="C61" s="11" t="s">
        <v>277</v>
      </c>
      <c r="D61" s="11" t="s">
        <v>63</v>
      </c>
      <c r="E61" s="11" t="s">
        <v>278</v>
      </c>
      <c r="F61" s="11" t="s">
        <v>264</v>
      </c>
      <c r="G61" s="12" t="s">
        <v>247</v>
      </c>
      <c r="H61" s="11" t="s">
        <v>67</v>
      </c>
      <c r="I61" s="12" t="s">
        <v>279</v>
      </c>
      <c r="J61" s="13"/>
    </row>
    <row r="62" customFormat="false" ht="15" hidden="false" customHeight="false" outlineLevel="0" collapsed="false">
      <c r="A62" s="10" t="n">
        <v>58</v>
      </c>
      <c r="B62" s="11" t="s">
        <v>280</v>
      </c>
      <c r="C62" s="11" t="s">
        <v>281</v>
      </c>
      <c r="D62" s="11" t="s">
        <v>63</v>
      </c>
      <c r="E62" s="11" t="s">
        <v>167</v>
      </c>
      <c r="F62" s="11" t="s">
        <v>264</v>
      </c>
      <c r="G62" s="12" t="s">
        <v>282</v>
      </c>
      <c r="H62" s="11" t="s">
        <v>169</v>
      </c>
      <c r="I62" s="12" t="s">
        <v>283</v>
      </c>
      <c r="J62" s="13"/>
    </row>
    <row r="63" customFormat="false" ht="15" hidden="false" customHeight="false" outlineLevel="0" collapsed="false">
      <c r="A63" s="10" t="n">
        <v>59</v>
      </c>
      <c r="B63" s="11" t="s">
        <v>284</v>
      </c>
      <c r="C63" s="11" t="s">
        <v>285</v>
      </c>
      <c r="D63" s="11" t="s">
        <v>63</v>
      </c>
      <c r="E63" s="11" t="s">
        <v>167</v>
      </c>
      <c r="F63" s="11" t="s">
        <v>264</v>
      </c>
      <c r="G63" s="12" t="s">
        <v>286</v>
      </c>
      <c r="H63" s="11" t="s">
        <v>169</v>
      </c>
      <c r="I63" s="12" t="s">
        <v>287</v>
      </c>
      <c r="J63" s="13"/>
    </row>
    <row r="64" customFormat="false" ht="15" hidden="false" customHeight="false" outlineLevel="0" collapsed="false">
      <c r="A64" s="10" t="n">
        <v>60</v>
      </c>
      <c r="B64" s="11" t="s">
        <v>288</v>
      </c>
      <c r="C64" s="11" t="s">
        <v>289</v>
      </c>
      <c r="D64" s="11" t="s">
        <v>96</v>
      </c>
      <c r="E64" s="11" t="s">
        <v>278</v>
      </c>
      <c r="F64" s="11" t="s">
        <v>264</v>
      </c>
      <c r="G64" s="12" t="s">
        <v>224</v>
      </c>
      <c r="H64" s="11" t="s">
        <v>84</v>
      </c>
      <c r="I64" s="12" t="s">
        <v>290</v>
      </c>
      <c r="J64" s="13"/>
    </row>
    <row r="65" customFormat="false" ht="15" hidden="false" customHeight="false" outlineLevel="0" collapsed="false">
      <c r="A65" s="10" t="n">
        <v>61</v>
      </c>
      <c r="B65" s="11" t="s">
        <v>291</v>
      </c>
      <c r="C65" s="11" t="s">
        <v>292</v>
      </c>
      <c r="D65" s="11" t="s">
        <v>96</v>
      </c>
      <c r="E65" s="11" t="s">
        <v>278</v>
      </c>
      <c r="F65" s="11" t="s">
        <v>264</v>
      </c>
      <c r="G65" s="12" t="s">
        <v>247</v>
      </c>
      <c r="H65" s="11" t="s">
        <v>84</v>
      </c>
      <c r="I65" s="12" t="s">
        <v>293</v>
      </c>
      <c r="J65" s="13"/>
    </row>
    <row r="66" customFormat="false" ht="15" hidden="false" customHeight="false" outlineLevel="0" collapsed="false">
      <c r="A66" s="10" t="n">
        <v>62</v>
      </c>
      <c r="B66" s="11" t="s">
        <v>294</v>
      </c>
      <c r="C66" s="11" t="s">
        <v>295</v>
      </c>
      <c r="D66" s="11" t="s">
        <v>96</v>
      </c>
      <c r="E66" s="11" t="s">
        <v>278</v>
      </c>
      <c r="F66" s="11" t="s">
        <v>264</v>
      </c>
      <c r="G66" s="12" t="s">
        <v>224</v>
      </c>
      <c r="H66" s="11" t="s">
        <v>84</v>
      </c>
      <c r="I66" s="12" t="s">
        <v>296</v>
      </c>
      <c r="J66" s="13"/>
    </row>
    <row r="67" customFormat="false" ht="15" hidden="false" customHeight="false" outlineLevel="0" collapsed="false">
      <c r="A67" s="10" t="n">
        <v>63</v>
      </c>
      <c r="B67" s="11" t="s">
        <v>297</v>
      </c>
      <c r="C67" s="11" t="s">
        <v>298</v>
      </c>
      <c r="D67" s="11" t="s">
        <v>100</v>
      </c>
      <c r="E67" s="11" t="s">
        <v>278</v>
      </c>
      <c r="F67" s="11" t="s">
        <v>264</v>
      </c>
      <c r="G67" s="12" t="s">
        <v>224</v>
      </c>
      <c r="H67" s="11" t="s">
        <v>84</v>
      </c>
      <c r="I67" s="12" t="s">
        <v>299</v>
      </c>
      <c r="J67" s="13"/>
    </row>
    <row r="68" customFormat="false" ht="15" hidden="false" customHeight="false" outlineLevel="0" collapsed="false">
      <c r="A68" s="10" t="n">
        <v>64</v>
      </c>
      <c r="B68" s="11" t="s">
        <v>300</v>
      </c>
      <c r="C68" s="11" t="s">
        <v>301</v>
      </c>
      <c r="D68" s="11" t="s">
        <v>96</v>
      </c>
      <c r="E68" s="11" t="s">
        <v>278</v>
      </c>
      <c r="F68" s="11" t="s">
        <v>264</v>
      </c>
      <c r="G68" s="12" t="s">
        <v>247</v>
      </c>
      <c r="H68" s="11" t="s">
        <v>84</v>
      </c>
      <c r="I68" s="12" t="s">
        <v>302</v>
      </c>
      <c r="J68" s="13"/>
    </row>
    <row r="69" customFormat="false" ht="15" hidden="false" customHeight="false" outlineLevel="0" collapsed="false">
      <c r="A69" s="10" t="n">
        <v>65</v>
      </c>
      <c r="B69" s="11" t="s">
        <v>303</v>
      </c>
      <c r="C69" s="11" t="s">
        <v>304</v>
      </c>
      <c r="D69" s="11" t="s">
        <v>63</v>
      </c>
      <c r="E69" s="11" t="s">
        <v>278</v>
      </c>
      <c r="F69" s="11" t="s">
        <v>264</v>
      </c>
      <c r="G69" s="12" t="s">
        <v>305</v>
      </c>
      <c r="H69" s="11" t="s">
        <v>84</v>
      </c>
      <c r="I69" s="12" t="s">
        <v>306</v>
      </c>
      <c r="J69" s="13"/>
    </row>
    <row r="70" customFormat="false" ht="15" hidden="false" customHeight="false" outlineLevel="0" collapsed="false">
      <c r="A70" s="10" t="n">
        <v>66</v>
      </c>
      <c r="B70" s="11" t="s">
        <v>307</v>
      </c>
      <c r="C70" s="11" t="s">
        <v>308</v>
      </c>
      <c r="D70" s="11" t="s">
        <v>254</v>
      </c>
      <c r="E70" s="11" t="s">
        <v>278</v>
      </c>
      <c r="F70" s="11" t="s">
        <v>264</v>
      </c>
      <c r="G70" s="12" t="s">
        <v>247</v>
      </c>
      <c r="H70" s="11" t="s">
        <v>84</v>
      </c>
      <c r="I70" s="12" t="s">
        <v>309</v>
      </c>
      <c r="J70" s="13"/>
    </row>
    <row r="71" customFormat="false" ht="15" hidden="false" customHeight="false" outlineLevel="0" collapsed="false">
      <c r="A71" s="10" t="n">
        <v>67</v>
      </c>
      <c r="B71" s="11" t="s">
        <v>310</v>
      </c>
      <c r="C71" s="11" t="s">
        <v>311</v>
      </c>
      <c r="D71" s="11" t="s">
        <v>63</v>
      </c>
      <c r="E71" s="11" t="s">
        <v>278</v>
      </c>
      <c r="F71" s="11" t="s">
        <v>264</v>
      </c>
      <c r="G71" s="12" t="s">
        <v>312</v>
      </c>
      <c r="H71" s="11" t="s">
        <v>84</v>
      </c>
      <c r="I71" s="12" t="s">
        <v>313</v>
      </c>
      <c r="J71" s="13"/>
    </row>
    <row r="72" customFormat="false" ht="15" hidden="false" customHeight="false" outlineLevel="0" collapsed="false">
      <c r="A72" s="10" t="n">
        <v>68</v>
      </c>
      <c r="B72" s="11" t="s">
        <v>314</v>
      </c>
      <c r="C72" s="11" t="s">
        <v>315</v>
      </c>
      <c r="D72" s="11" t="s">
        <v>63</v>
      </c>
      <c r="E72" s="11" t="s">
        <v>316</v>
      </c>
      <c r="F72" s="11" t="s">
        <v>142</v>
      </c>
      <c r="G72" s="12" t="s">
        <v>317</v>
      </c>
      <c r="H72" s="11" t="s">
        <v>67</v>
      </c>
      <c r="I72" s="12" t="s">
        <v>318</v>
      </c>
      <c r="J72" s="13"/>
    </row>
    <row r="73" customFormat="false" ht="15" hidden="false" customHeight="false" outlineLevel="0" collapsed="false">
      <c r="A73" s="10" t="n">
        <v>69</v>
      </c>
      <c r="B73" s="11" t="s">
        <v>319</v>
      </c>
      <c r="C73" s="11" t="s">
        <v>320</v>
      </c>
      <c r="D73" s="11" t="s">
        <v>63</v>
      </c>
      <c r="E73" s="11" t="s">
        <v>316</v>
      </c>
      <c r="F73" s="11" t="s">
        <v>142</v>
      </c>
      <c r="G73" s="12" t="s">
        <v>321</v>
      </c>
      <c r="H73" s="11" t="s">
        <v>67</v>
      </c>
      <c r="I73" s="12" t="s">
        <v>322</v>
      </c>
      <c r="J73" s="13"/>
    </row>
    <row r="74" customFormat="false" ht="15" hidden="false" customHeight="false" outlineLevel="0" collapsed="false">
      <c r="A74" s="10" t="n">
        <v>70</v>
      </c>
      <c r="B74" s="11" t="s">
        <v>323</v>
      </c>
      <c r="C74" s="11" t="s">
        <v>324</v>
      </c>
      <c r="D74" s="11" t="s">
        <v>96</v>
      </c>
      <c r="E74" s="11" t="s">
        <v>316</v>
      </c>
      <c r="F74" s="11" t="s">
        <v>142</v>
      </c>
      <c r="G74" s="12" t="s">
        <v>321</v>
      </c>
      <c r="H74" s="11" t="s">
        <v>84</v>
      </c>
      <c r="I74" s="12" t="s">
        <v>325</v>
      </c>
      <c r="J74" s="13"/>
    </row>
    <row r="75" customFormat="false" ht="15" hidden="false" customHeight="false" outlineLevel="0" collapsed="false">
      <c r="A75" s="10" t="n">
        <v>71</v>
      </c>
      <c r="B75" s="11" t="s">
        <v>326</v>
      </c>
      <c r="C75" s="11" t="s">
        <v>327</v>
      </c>
      <c r="D75" s="11" t="s">
        <v>96</v>
      </c>
      <c r="E75" s="11" t="s">
        <v>316</v>
      </c>
      <c r="F75" s="11" t="s">
        <v>142</v>
      </c>
      <c r="G75" s="12" t="s">
        <v>321</v>
      </c>
      <c r="H75" s="11" t="s">
        <v>84</v>
      </c>
      <c r="I75" s="12" t="s">
        <v>328</v>
      </c>
      <c r="J75" s="13"/>
    </row>
    <row r="76" customFormat="false" ht="15" hidden="false" customHeight="false" outlineLevel="0" collapsed="false">
      <c r="A76" s="10" t="n">
        <v>72</v>
      </c>
      <c r="B76" s="11" t="s">
        <v>329</v>
      </c>
      <c r="C76" s="11" t="s">
        <v>330</v>
      </c>
      <c r="D76" s="11" t="s">
        <v>181</v>
      </c>
      <c r="E76" s="11" t="s">
        <v>316</v>
      </c>
      <c r="F76" s="11" t="s">
        <v>142</v>
      </c>
      <c r="G76" s="12" t="s">
        <v>321</v>
      </c>
      <c r="H76" s="11" t="s">
        <v>84</v>
      </c>
      <c r="I76" s="12" t="s">
        <v>331</v>
      </c>
      <c r="J76" s="13"/>
    </row>
    <row r="77" customFormat="false" ht="15" hidden="false" customHeight="false" outlineLevel="0" collapsed="false">
      <c r="A77" s="10" t="n">
        <v>73</v>
      </c>
      <c r="B77" s="11" t="s">
        <v>332</v>
      </c>
      <c r="C77" s="11" t="s">
        <v>333</v>
      </c>
      <c r="D77" s="11" t="s">
        <v>63</v>
      </c>
      <c r="E77" s="11" t="s">
        <v>316</v>
      </c>
      <c r="F77" s="11" t="s">
        <v>142</v>
      </c>
      <c r="G77" s="12" t="s">
        <v>321</v>
      </c>
      <c r="H77" s="11" t="s">
        <v>84</v>
      </c>
      <c r="I77" s="12" t="s">
        <v>334</v>
      </c>
      <c r="J77" s="13"/>
    </row>
    <row r="78" customFormat="false" ht="15" hidden="false" customHeight="false" outlineLevel="0" collapsed="false">
      <c r="A78" s="10" t="n">
        <v>74</v>
      </c>
      <c r="B78" s="11" t="s">
        <v>335</v>
      </c>
      <c r="C78" s="11" t="s">
        <v>336</v>
      </c>
      <c r="D78" s="11" t="s">
        <v>63</v>
      </c>
      <c r="E78" s="11" t="s">
        <v>316</v>
      </c>
      <c r="F78" s="11" t="s">
        <v>142</v>
      </c>
      <c r="G78" s="12" t="s">
        <v>321</v>
      </c>
      <c r="H78" s="11" t="s">
        <v>84</v>
      </c>
      <c r="I78" s="12" t="s">
        <v>337</v>
      </c>
      <c r="J78" s="13"/>
    </row>
    <row r="79" customFormat="false" ht="15" hidden="false" customHeight="false" outlineLevel="0" collapsed="false">
      <c r="A79" s="10" t="n">
        <v>75</v>
      </c>
      <c r="B79" s="11" t="s">
        <v>338</v>
      </c>
      <c r="C79" s="11" t="s">
        <v>339</v>
      </c>
      <c r="D79" s="11" t="s">
        <v>254</v>
      </c>
      <c r="E79" s="11" t="s">
        <v>316</v>
      </c>
      <c r="F79" s="11" t="s">
        <v>142</v>
      </c>
      <c r="G79" s="12" t="s">
        <v>340</v>
      </c>
      <c r="H79" s="11" t="s">
        <v>84</v>
      </c>
      <c r="I79" s="12" t="s">
        <v>341</v>
      </c>
      <c r="J79" s="13"/>
    </row>
    <row r="80" customFormat="false" ht="15" hidden="false" customHeight="false" outlineLevel="0" collapsed="false">
      <c r="A80" s="10" t="n">
        <v>76</v>
      </c>
      <c r="B80" s="11" t="s">
        <v>342</v>
      </c>
      <c r="C80" s="11" t="s">
        <v>343</v>
      </c>
      <c r="D80" s="11" t="s">
        <v>254</v>
      </c>
      <c r="E80" s="11" t="s">
        <v>316</v>
      </c>
      <c r="F80" s="11" t="s">
        <v>142</v>
      </c>
      <c r="G80" s="12" t="s">
        <v>340</v>
      </c>
      <c r="H80" s="11" t="s">
        <v>84</v>
      </c>
      <c r="I80" s="12" t="s">
        <v>344</v>
      </c>
      <c r="J80" s="13"/>
    </row>
    <row r="81" customFormat="false" ht="15" hidden="false" customHeight="false" outlineLevel="0" collapsed="false">
      <c r="A81" s="10" t="n">
        <v>77</v>
      </c>
      <c r="B81" s="11" t="s">
        <v>345</v>
      </c>
      <c r="C81" s="11" t="s">
        <v>346</v>
      </c>
      <c r="D81" s="11" t="s">
        <v>100</v>
      </c>
      <c r="E81" s="11" t="s">
        <v>316</v>
      </c>
      <c r="F81" s="11" t="s">
        <v>142</v>
      </c>
      <c r="G81" s="12" t="s">
        <v>321</v>
      </c>
      <c r="H81" s="11" t="s">
        <v>84</v>
      </c>
      <c r="I81" s="12" t="s">
        <v>347</v>
      </c>
      <c r="J81" s="13"/>
    </row>
    <row r="82" customFormat="false" ht="15" hidden="false" customHeight="false" outlineLevel="0" collapsed="false">
      <c r="A82" s="10" t="n">
        <v>78</v>
      </c>
      <c r="B82" s="11" t="s">
        <v>348</v>
      </c>
      <c r="C82" s="11" t="s">
        <v>349</v>
      </c>
      <c r="D82" s="11" t="s">
        <v>181</v>
      </c>
      <c r="E82" s="11" t="s">
        <v>316</v>
      </c>
      <c r="F82" s="11" t="s">
        <v>264</v>
      </c>
      <c r="G82" s="12" t="s">
        <v>350</v>
      </c>
      <c r="H82" s="11" t="s">
        <v>174</v>
      </c>
      <c r="I82" s="12" t="s">
        <v>351</v>
      </c>
      <c r="J82" s="13"/>
    </row>
    <row r="83" customFormat="false" ht="15" hidden="false" customHeight="false" outlineLevel="0" collapsed="false">
      <c r="A83" s="10" t="n">
        <v>79</v>
      </c>
      <c r="B83" s="11" t="s">
        <v>352</v>
      </c>
      <c r="C83" s="11" t="s">
        <v>353</v>
      </c>
      <c r="D83" s="11" t="s">
        <v>96</v>
      </c>
      <c r="E83" s="11" t="s">
        <v>316</v>
      </c>
      <c r="F83" s="11" t="s">
        <v>264</v>
      </c>
      <c r="G83" s="12" t="s">
        <v>350</v>
      </c>
      <c r="H83" s="11" t="s">
        <v>174</v>
      </c>
      <c r="I83" s="12" t="s">
        <v>354</v>
      </c>
      <c r="J83" s="13"/>
    </row>
    <row r="84" customFormat="false" ht="15" hidden="false" customHeight="false" outlineLevel="0" collapsed="false">
      <c r="A84" s="10" t="n">
        <v>80</v>
      </c>
      <c r="B84" s="11" t="s">
        <v>355</v>
      </c>
      <c r="C84" s="11" t="s">
        <v>356</v>
      </c>
      <c r="D84" s="11" t="s">
        <v>274</v>
      </c>
      <c r="E84" s="11" t="s">
        <v>316</v>
      </c>
      <c r="F84" s="11" t="s">
        <v>264</v>
      </c>
      <c r="G84" s="12" t="s">
        <v>350</v>
      </c>
      <c r="H84" s="11" t="s">
        <v>174</v>
      </c>
      <c r="I84" s="12" t="s">
        <v>357</v>
      </c>
      <c r="J84" s="13"/>
    </row>
    <row r="85" customFormat="false" ht="15" hidden="false" customHeight="false" outlineLevel="0" collapsed="false">
      <c r="A85" s="10" t="n">
        <v>81</v>
      </c>
      <c r="B85" s="11" t="s">
        <v>358</v>
      </c>
      <c r="C85" s="11" t="s">
        <v>359</v>
      </c>
      <c r="D85" s="11" t="s">
        <v>254</v>
      </c>
      <c r="E85" s="11" t="s">
        <v>360</v>
      </c>
      <c r="F85" s="11" t="s">
        <v>142</v>
      </c>
      <c r="G85" s="12" t="s">
        <v>340</v>
      </c>
      <c r="H85" s="11" t="s">
        <v>84</v>
      </c>
      <c r="I85" s="12" t="s">
        <v>361</v>
      </c>
      <c r="J85" s="13"/>
    </row>
    <row r="86" customFormat="false" ht="15" hidden="false" customHeight="false" outlineLevel="0" collapsed="false">
      <c r="A86" s="10" t="n">
        <v>82</v>
      </c>
      <c r="B86" s="11" t="s">
        <v>362</v>
      </c>
      <c r="C86" s="11" t="s">
        <v>363</v>
      </c>
      <c r="D86" s="11" t="s">
        <v>254</v>
      </c>
      <c r="E86" s="11" t="s">
        <v>360</v>
      </c>
      <c r="F86" s="11" t="s">
        <v>142</v>
      </c>
      <c r="G86" s="12" t="s">
        <v>364</v>
      </c>
      <c r="H86" s="11" t="s">
        <v>84</v>
      </c>
      <c r="I86" s="12" t="s">
        <v>365</v>
      </c>
      <c r="J86" s="13"/>
    </row>
    <row r="87" customFormat="false" ht="15" hidden="false" customHeight="false" outlineLevel="0" collapsed="false">
      <c r="A87" s="10" t="n">
        <v>83</v>
      </c>
      <c r="B87" s="11" t="s">
        <v>366</v>
      </c>
      <c r="C87" s="11" t="s">
        <v>367</v>
      </c>
      <c r="D87" s="11" t="s">
        <v>254</v>
      </c>
      <c r="E87" s="11" t="s">
        <v>360</v>
      </c>
      <c r="F87" s="11" t="s">
        <v>142</v>
      </c>
      <c r="G87" s="12" t="s">
        <v>340</v>
      </c>
      <c r="H87" s="11" t="s">
        <v>67</v>
      </c>
      <c r="I87" s="12" t="s">
        <v>368</v>
      </c>
      <c r="J87" s="13"/>
    </row>
    <row r="88" customFormat="false" ht="15" hidden="false" customHeight="false" outlineLevel="0" collapsed="false">
      <c r="A88" s="10" t="n">
        <v>84</v>
      </c>
      <c r="B88" s="11" t="s">
        <v>369</v>
      </c>
      <c r="C88" s="11" t="s">
        <v>370</v>
      </c>
      <c r="D88" s="11" t="s">
        <v>254</v>
      </c>
      <c r="E88" s="11" t="s">
        <v>360</v>
      </c>
      <c r="F88" s="11" t="s">
        <v>142</v>
      </c>
      <c r="G88" s="12" t="s">
        <v>364</v>
      </c>
      <c r="H88" s="11" t="s">
        <v>84</v>
      </c>
      <c r="I88" s="12" t="s">
        <v>371</v>
      </c>
      <c r="J88" s="13"/>
    </row>
    <row r="89" customFormat="false" ht="15" hidden="false" customHeight="false" outlineLevel="0" collapsed="false">
      <c r="A89" s="10" t="n">
        <v>85</v>
      </c>
      <c r="B89" s="11" t="s">
        <v>372</v>
      </c>
      <c r="C89" s="11" t="s">
        <v>373</v>
      </c>
      <c r="D89" s="11" t="s">
        <v>181</v>
      </c>
      <c r="E89" s="11" t="s">
        <v>360</v>
      </c>
      <c r="F89" s="11" t="s">
        <v>142</v>
      </c>
      <c r="G89" s="12" t="s">
        <v>364</v>
      </c>
      <c r="H89" s="11" t="s">
        <v>84</v>
      </c>
      <c r="I89" s="12" t="s">
        <v>374</v>
      </c>
      <c r="J89" s="13"/>
    </row>
    <row r="90" customFormat="false" ht="15" hidden="false" customHeight="false" outlineLevel="0" collapsed="false">
      <c r="A90" s="10" t="n">
        <v>86</v>
      </c>
      <c r="B90" s="11" t="s">
        <v>375</v>
      </c>
      <c r="C90" s="11" t="s">
        <v>376</v>
      </c>
      <c r="D90" s="11" t="s">
        <v>181</v>
      </c>
      <c r="E90" s="11" t="s">
        <v>360</v>
      </c>
      <c r="F90" s="11" t="s">
        <v>142</v>
      </c>
      <c r="G90" s="12" t="s">
        <v>364</v>
      </c>
      <c r="H90" s="11" t="s">
        <v>84</v>
      </c>
      <c r="I90" s="12" t="s">
        <v>377</v>
      </c>
      <c r="J90" s="13"/>
    </row>
    <row r="91" customFormat="false" ht="15" hidden="false" customHeight="false" outlineLevel="0" collapsed="false">
      <c r="A91" s="10" t="n">
        <v>87</v>
      </c>
      <c r="B91" s="11" t="s">
        <v>378</v>
      </c>
      <c r="C91" s="11" t="s">
        <v>379</v>
      </c>
      <c r="D91" s="11" t="s">
        <v>181</v>
      </c>
      <c r="E91" s="11" t="s">
        <v>360</v>
      </c>
      <c r="F91" s="11" t="s">
        <v>142</v>
      </c>
      <c r="G91" s="12" t="s">
        <v>312</v>
      </c>
      <c r="H91" s="11" t="s">
        <v>174</v>
      </c>
      <c r="I91" s="12" t="s">
        <v>380</v>
      </c>
      <c r="J91" s="13"/>
    </row>
    <row r="92" customFormat="false" ht="15" hidden="false" customHeight="false" outlineLevel="0" collapsed="false">
      <c r="A92" s="10" t="n">
        <v>88</v>
      </c>
      <c r="B92" s="11" t="s">
        <v>381</v>
      </c>
      <c r="C92" s="11" t="s">
        <v>382</v>
      </c>
      <c r="D92" s="11" t="s">
        <v>254</v>
      </c>
      <c r="E92" s="11" t="s">
        <v>167</v>
      </c>
      <c r="F92" s="11" t="s">
        <v>142</v>
      </c>
      <c r="G92" s="12" t="s">
        <v>383</v>
      </c>
      <c r="H92" s="11" t="s">
        <v>169</v>
      </c>
      <c r="I92" s="12" t="s">
        <v>384</v>
      </c>
      <c r="J92" s="13"/>
    </row>
    <row r="93" customFormat="false" ht="15" hidden="false" customHeight="false" outlineLevel="0" collapsed="false">
      <c r="A93" s="10" t="n">
        <v>89</v>
      </c>
      <c r="B93" s="11" t="s">
        <v>385</v>
      </c>
      <c r="C93" s="11" t="s">
        <v>386</v>
      </c>
      <c r="D93" s="11" t="s">
        <v>274</v>
      </c>
      <c r="E93" s="11" t="s">
        <v>360</v>
      </c>
      <c r="F93" s="11" t="s">
        <v>142</v>
      </c>
      <c r="G93" s="12" t="s">
        <v>364</v>
      </c>
      <c r="H93" s="11" t="s">
        <v>84</v>
      </c>
      <c r="I93" s="12" t="s">
        <v>387</v>
      </c>
      <c r="J93" s="13"/>
    </row>
    <row r="94" customFormat="false" ht="15" hidden="false" customHeight="false" outlineLevel="0" collapsed="false">
      <c r="A94" s="10" t="n">
        <v>90</v>
      </c>
      <c r="B94" s="11" t="s">
        <v>388</v>
      </c>
      <c r="C94" s="11" t="s">
        <v>389</v>
      </c>
      <c r="D94" s="11" t="s">
        <v>63</v>
      </c>
      <c r="E94" s="11" t="s">
        <v>167</v>
      </c>
      <c r="F94" s="11" t="s">
        <v>390</v>
      </c>
      <c r="G94" s="12" t="s">
        <v>391</v>
      </c>
      <c r="H94" s="11" t="s">
        <v>169</v>
      </c>
      <c r="I94" s="12" t="s">
        <v>392</v>
      </c>
      <c r="J94" s="13"/>
    </row>
    <row r="95" customFormat="false" ht="15" hidden="false" customHeight="false" outlineLevel="0" collapsed="false">
      <c r="A95" s="10" t="n">
        <v>91</v>
      </c>
      <c r="B95" s="11" t="s">
        <v>393</v>
      </c>
      <c r="C95" s="11" t="s">
        <v>394</v>
      </c>
      <c r="D95" s="11" t="s">
        <v>63</v>
      </c>
      <c r="E95" s="11" t="s">
        <v>167</v>
      </c>
      <c r="F95" s="11" t="s">
        <v>390</v>
      </c>
      <c r="G95" s="12" t="s">
        <v>395</v>
      </c>
      <c r="H95" s="11" t="s">
        <v>169</v>
      </c>
      <c r="I95" s="12" t="s">
        <v>396</v>
      </c>
      <c r="J95" s="13"/>
    </row>
    <row r="96" customFormat="false" ht="15" hidden="false" customHeight="false" outlineLevel="0" collapsed="false">
      <c r="A96" s="10" t="n">
        <v>92</v>
      </c>
      <c r="B96" s="11" t="s">
        <v>397</v>
      </c>
      <c r="C96" s="11" t="s">
        <v>398</v>
      </c>
      <c r="D96" s="11" t="s">
        <v>63</v>
      </c>
      <c r="E96" s="11" t="s">
        <v>167</v>
      </c>
      <c r="F96" s="11" t="s">
        <v>390</v>
      </c>
      <c r="G96" s="12" t="s">
        <v>399</v>
      </c>
      <c r="H96" s="11" t="s">
        <v>169</v>
      </c>
      <c r="I96" s="12" t="s">
        <v>400</v>
      </c>
      <c r="J96" s="13"/>
    </row>
    <row r="97" customFormat="false" ht="15" hidden="false" customHeight="false" outlineLevel="0" collapsed="false">
      <c r="A97" s="10" t="n">
        <v>93</v>
      </c>
      <c r="B97" s="11" t="s">
        <v>401</v>
      </c>
      <c r="C97" s="11" t="s">
        <v>402</v>
      </c>
      <c r="D97" s="11" t="s">
        <v>63</v>
      </c>
      <c r="E97" s="11" t="s">
        <v>167</v>
      </c>
      <c r="F97" s="11" t="s">
        <v>390</v>
      </c>
      <c r="G97" s="12" t="s">
        <v>403</v>
      </c>
      <c r="H97" s="11" t="s">
        <v>169</v>
      </c>
      <c r="I97" s="12" t="s">
        <v>404</v>
      </c>
      <c r="J97" s="13"/>
    </row>
    <row r="98" customFormat="false" ht="15" hidden="false" customHeight="false" outlineLevel="0" collapsed="false">
      <c r="A98" s="10" t="n">
        <v>94</v>
      </c>
      <c r="B98" s="11" t="s">
        <v>405</v>
      </c>
      <c r="C98" s="11" t="s">
        <v>406</v>
      </c>
      <c r="D98" s="11" t="s">
        <v>63</v>
      </c>
      <c r="E98" s="11" t="s">
        <v>167</v>
      </c>
      <c r="F98" s="11" t="s">
        <v>390</v>
      </c>
      <c r="G98" s="12" t="s">
        <v>403</v>
      </c>
      <c r="H98" s="11" t="s">
        <v>169</v>
      </c>
      <c r="I98" s="12" t="s">
        <v>407</v>
      </c>
      <c r="J98" s="13"/>
    </row>
    <row r="99" customFormat="false" ht="15" hidden="false" customHeight="false" outlineLevel="0" collapsed="false">
      <c r="A99" s="10" t="n">
        <v>95</v>
      </c>
      <c r="B99" s="11" t="s">
        <v>408</v>
      </c>
      <c r="C99" s="11" t="s">
        <v>409</v>
      </c>
      <c r="D99" s="11" t="s">
        <v>63</v>
      </c>
      <c r="E99" s="11" t="s">
        <v>167</v>
      </c>
      <c r="F99" s="11" t="s">
        <v>410</v>
      </c>
      <c r="G99" s="12" t="s">
        <v>147</v>
      </c>
      <c r="H99" s="11" t="s">
        <v>169</v>
      </c>
      <c r="I99" s="12" t="s">
        <v>411</v>
      </c>
      <c r="J99" s="13"/>
    </row>
    <row r="100" customFormat="false" ht="15" hidden="false" customHeight="false" outlineLevel="0" collapsed="false">
      <c r="A100" s="10" t="n">
        <v>96</v>
      </c>
      <c r="B100" s="11" t="s">
        <v>412</v>
      </c>
      <c r="C100" s="11" t="s">
        <v>413</v>
      </c>
      <c r="D100" s="11" t="s">
        <v>63</v>
      </c>
      <c r="E100" s="11" t="s">
        <v>167</v>
      </c>
      <c r="F100" s="11" t="s">
        <v>410</v>
      </c>
      <c r="G100" s="12" t="s">
        <v>92</v>
      </c>
      <c r="H100" s="11" t="s">
        <v>169</v>
      </c>
      <c r="I100" s="12" t="s">
        <v>414</v>
      </c>
      <c r="J100" s="13"/>
    </row>
    <row r="101" customFormat="false" ht="15" hidden="false" customHeight="false" outlineLevel="0" collapsed="false">
      <c r="A101" s="10" t="n">
        <v>97</v>
      </c>
      <c r="B101" s="11" t="s">
        <v>415</v>
      </c>
      <c r="C101" s="11" t="s">
        <v>416</v>
      </c>
      <c r="D101" s="11" t="s">
        <v>63</v>
      </c>
      <c r="E101" s="11" t="s">
        <v>167</v>
      </c>
      <c r="F101" s="11" t="s">
        <v>410</v>
      </c>
      <c r="G101" s="12" t="s">
        <v>417</v>
      </c>
      <c r="H101" s="11" t="s">
        <v>169</v>
      </c>
      <c r="I101" s="12" t="s">
        <v>418</v>
      </c>
      <c r="J101" s="13"/>
    </row>
    <row r="102" customFormat="false" ht="15" hidden="false" customHeight="false" outlineLevel="0" collapsed="false">
      <c r="A102" s="10" t="n">
        <v>98</v>
      </c>
      <c r="B102" s="11" t="s">
        <v>419</v>
      </c>
      <c r="C102" s="11" t="s">
        <v>420</v>
      </c>
      <c r="D102" s="11" t="s">
        <v>96</v>
      </c>
      <c r="E102" s="11" t="s">
        <v>167</v>
      </c>
      <c r="F102" s="11" t="s">
        <v>390</v>
      </c>
      <c r="G102" s="12" t="s">
        <v>421</v>
      </c>
      <c r="H102" s="11" t="s">
        <v>169</v>
      </c>
      <c r="I102" s="12" t="s">
        <v>422</v>
      </c>
      <c r="J102" s="13"/>
    </row>
    <row r="103" customFormat="false" ht="15" hidden="false" customHeight="false" outlineLevel="0" collapsed="false">
      <c r="A103" s="10" t="n">
        <v>99</v>
      </c>
      <c r="B103" s="11" t="s">
        <v>423</v>
      </c>
      <c r="C103" s="11" t="s">
        <v>424</v>
      </c>
      <c r="D103" s="11" t="s">
        <v>96</v>
      </c>
      <c r="E103" s="11" t="s">
        <v>167</v>
      </c>
      <c r="F103" s="11" t="s">
        <v>390</v>
      </c>
      <c r="G103" s="12" t="s">
        <v>425</v>
      </c>
      <c r="H103" s="11" t="s">
        <v>169</v>
      </c>
      <c r="I103" s="12" t="s">
        <v>426</v>
      </c>
      <c r="J103" s="13"/>
    </row>
    <row r="104" customFormat="false" ht="15" hidden="false" customHeight="false" outlineLevel="0" collapsed="false">
      <c r="A104" s="10" t="n">
        <v>100</v>
      </c>
      <c r="B104" s="11" t="s">
        <v>427</v>
      </c>
      <c r="C104" s="11" t="s">
        <v>428</v>
      </c>
      <c r="D104" s="11" t="s">
        <v>96</v>
      </c>
      <c r="E104" s="11" t="s">
        <v>167</v>
      </c>
      <c r="F104" s="11" t="s">
        <v>390</v>
      </c>
      <c r="G104" s="12" t="s">
        <v>421</v>
      </c>
      <c r="H104" s="11" t="s">
        <v>169</v>
      </c>
      <c r="I104" s="12" t="s">
        <v>429</v>
      </c>
      <c r="J104" s="13"/>
    </row>
    <row r="105" customFormat="false" ht="15" hidden="false" customHeight="false" outlineLevel="0" collapsed="false">
      <c r="A105" s="10" t="n">
        <v>101</v>
      </c>
      <c r="B105" s="11" t="s">
        <v>430</v>
      </c>
      <c r="C105" s="11" t="s">
        <v>430</v>
      </c>
      <c r="D105" s="11" t="s">
        <v>63</v>
      </c>
      <c r="E105" s="11" t="s">
        <v>167</v>
      </c>
      <c r="F105" s="11" t="s">
        <v>390</v>
      </c>
      <c r="G105" s="12" t="s">
        <v>431</v>
      </c>
      <c r="H105" s="11" t="s">
        <v>169</v>
      </c>
      <c r="I105" s="12" t="s">
        <v>432</v>
      </c>
      <c r="J105" s="13"/>
    </row>
    <row r="106" customFormat="false" ht="15" hidden="false" customHeight="false" outlineLevel="0" collapsed="false">
      <c r="A106" s="10" t="n">
        <v>102</v>
      </c>
      <c r="B106" s="11" t="s">
        <v>433</v>
      </c>
      <c r="C106" s="11" t="s">
        <v>434</v>
      </c>
      <c r="D106" s="11" t="s">
        <v>254</v>
      </c>
      <c r="E106" s="11" t="s">
        <v>435</v>
      </c>
      <c r="F106" s="11" t="s">
        <v>65</v>
      </c>
      <c r="G106" s="12" t="s">
        <v>436</v>
      </c>
      <c r="H106" s="11" t="s">
        <v>435</v>
      </c>
      <c r="I106" s="12" t="s">
        <v>437</v>
      </c>
      <c r="J106" s="13"/>
    </row>
    <row r="107" customFormat="false" ht="15" hidden="false" customHeight="false" outlineLevel="0" collapsed="false">
      <c r="A107" s="10" t="n">
        <v>103</v>
      </c>
      <c r="B107" s="11" t="s">
        <v>438</v>
      </c>
      <c r="C107" s="11" t="s">
        <v>439</v>
      </c>
      <c r="D107" s="11" t="s">
        <v>254</v>
      </c>
      <c r="E107" s="11" t="s">
        <v>435</v>
      </c>
      <c r="F107" s="11" t="s">
        <v>101</v>
      </c>
      <c r="G107" s="12" t="s">
        <v>189</v>
      </c>
      <c r="H107" s="11" t="s">
        <v>435</v>
      </c>
      <c r="I107" s="12" t="s">
        <v>440</v>
      </c>
      <c r="J107" s="13"/>
    </row>
    <row r="108" customFormat="false" ht="15" hidden="false" customHeight="false" outlineLevel="0" collapsed="false">
      <c r="A108" s="10" t="n">
        <v>104</v>
      </c>
      <c r="B108" s="11" t="s">
        <v>441</v>
      </c>
      <c r="C108" s="11" t="s">
        <v>442</v>
      </c>
      <c r="D108" s="11" t="s">
        <v>254</v>
      </c>
      <c r="E108" s="11" t="s">
        <v>435</v>
      </c>
      <c r="F108" s="11" t="s">
        <v>65</v>
      </c>
      <c r="G108" s="12" t="s">
        <v>436</v>
      </c>
      <c r="H108" s="11" t="s">
        <v>435</v>
      </c>
      <c r="I108" s="12" t="s">
        <v>443</v>
      </c>
      <c r="J108" s="13"/>
    </row>
    <row r="109" customFormat="false" ht="15" hidden="false" customHeight="false" outlineLevel="0" collapsed="false">
      <c r="A109" s="10" t="n">
        <v>105</v>
      </c>
      <c r="B109" s="11" t="s">
        <v>444</v>
      </c>
      <c r="C109" s="11" t="s">
        <v>445</v>
      </c>
      <c r="D109" s="11" t="s">
        <v>254</v>
      </c>
      <c r="E109" s="11" t="s">
        <v>435</v>
      </c>
      <c r="F109" s="11" t="s">
        <v>65</v>
      </c>
      <c r="G109" s="12" t="s">
        <v>436</v>
      </c>
      <c r="H109" s="11" t="s">
        <v>435</v>
      </c>
      <c r="I109" s="12" t="s">
        <v>446</v>
      </c>
      <c r="J109" s="13"/>
    </row>
    <row r="110" customFormat="false" ht="15" hidden="false" customHeight="false" outlineLevel="0" collapsed="false">
      <c r="A110" s="10" t="n">
        <v>106</v>
      </c>
      <c r="B110" s="11" t="s">
        <v>447</v>
      </c>
      <c r="C110" s="11" t="s">
        <v>448</v>
      </c>
      <c r="D110" s="11" t="s">
        <v>254</v>
      </c>
      <c r="E110" s="11" t="s">
        <v>435</v>
      </c>
      <c r="F110" s="11" t="s">
        <v>215</v>
      </c>
      <c r="G110" s="12" t="s">
        <v>216</v>
      </c>
      <c r="H110" s="11" t="s">
        <v>435</v>
      </c>
      <c r="I110" s="12" t="s">
        <v>449</v>
      </c>
      <c r="J110" s="13"/>
    </row>
    <row r="111" customFormat="false" ht="15" hidden="false" customHeight="false" outlineLevel="0" collapsed="false">
      <c r="A111" s="10" t="n">
        <v>107</v>
      </c>
      <c r="B111" s="11" t="s">
        <v>450</v>
      </c>
      <c r="C111" s="11" t="s">
        <v>451</v>
      </c>
      <c r="D111" s="11" t="s">
        <v>254</v>
      </c>
      <c r="E111" s="11" t="s">
        <v>435</v>
      </c>
      <c r="F111" s="11" t="s">
        <v>101</v>
      </c>
      <c r="G111" s="12" t="s">
        <v>452</v>
      </c>
      <c r="H111" s="11" t="s">
        <v>435</v>
      </c>
      <c r="I111" s="12" t="s">
        <v>453</v>
      </c>
      <c r="J111" s="13"/>
    </row>
    <row r="112" customFormat="false" ht="15" hidden="false" customHeight="false" outlineLevel="0" collapsed="false">
      <c r="A112" s="10" t="n">
        <v>108</v>
      </c>
      <c r="B112" s="11" t="s">
        <v>454</v>
      </c>
      <c r="C112" s="11" t="s">
        <v>455</v>
      </c>
      <c r="D112" s="11" t="s">
        <v>254</v>
      </c>
      <c r="E112" s="11" t="s">
        <v>435</v>
      </c>
      <c r="F112" s="11" t="s">
        <v>101</v>
      </c>
      <c r="G112" s="12" t="s">
        <v>207</v>
      </c>
      <c r="H112" s="11" t="s">
        <v>435</v>
      </c>
      <c r="I112" s="12" t="s">
        <v>456</v>
      </c>
      <c r="J112" s="13"/>
    </row>
    <row r="113" customFormat="false" ht="15" hidden="false" customHeight="false" outlineLevel="0" collapsed="false">
      <c r="A113" s="10" t="n">
        <v>109</v>
      </c>
      <c r="B113" s="11" t="s">
        <v>457</v>
      </c>
      <c r="C113" s="11" t="s">
        <v>458</v>
      </c>
      <c r="D113" s="11" t="s">
        <v>254</v>
      </c>
      <c r="E113" s="11" t="s">
        <v>435</v>
      </c>
      <c r="F113" s="11" t="s">
        <v>459</v>
      </c>
      <c r="G113" s="12" t="s">
        <v>65</v>
      </c>
      <c r="H113" s="11" t="s">
        <v>435</v>
      </c>
      <c r="I113" s="12" t="s">
        <v>460</v>
      </c>
      <c r="J113" s="13"/>
    </row>
    <row r="114" customFormat="false" ht="15" hidden="false" customHeight="false" outlineLevel="0" collapsed="false">
      <c r="A114" s="10" t="n">
        <v>110</v>
      </c>
      <c r="B114" s="11" t="s">
        <v>461</v>
      </c>
      <c r="C114" s="11" t="s">
        <v>462</v>
      </c>
      <c r="D114" s="11" t="s">
        <v>254</v>
      </c>
      <c r="E114" s="11" t="s">
        <v>435</v>
      </c>
      <c r="F114" s="11" t="s">
        <v>118</v>
      </c>
      <c r="G114" s="12" t="s">
        <v>463</v>
      </c>
      <c r="H114" s="11" t="s">
        <v>435</v>
      </c>
      <c r="I114" s="12" t="s">
        <v>464</v>
      </c>
      <c r="J114" s="13"/>
    </row>
    <row r="115" customFormat="false" ht="15" hidden="false" customHeight="false" outlineLevel="0" collapsed="false">
      <c r="A115" s="10" t="n">
        <v>111</v>
      </c>
      <c r="B115" s="11" t="s">
        <v>465</v>
      </c>
      <c r="C115" s="11" t="s">
        <v>466</v>
      </c>
      <c r="D115" s="11" t="s">
        <v>254</v>
      </c>
      <c r="E115" s="11" t="s">
        <v>435</v>
      </c>
      <c r="F115" s="11" t="s">
        <v>118</v>
      </c>
      <c r="G115" s="12" t="s">
        <v>421</v>
      </c>
      <c r="H115" s="11" t="s">
        <v>435</v>
      </c>
      <c r="I115" s="12" t="s">
        <v>467</v>
      </c>
      <c r="J115" s="13"/>
    </row>
    <row r="116" customFormat="false" ht="15" hidden="false" customHeight="false" outlineLevel="0" collapsed="false">
      <c r="A116" s="10" t="n">
        <v>112</v>
      </c>
      <c r="B116" s="11" t="s">
        <v>468</v>
      </c>
      <c r="C116" s="11" t="s">
        <v>469</v>
      </c>
      <c r="D116" s="11" t="s">
        <v>254</v>
      </c>
      <c r="E116" s="11" t="s">
        <v>435</v>
      </c>
      <c r="F116" s="11" t="s">
        <v>101</v>
      </c>
      <c r="G116" s="12" t="s">
        <v>452</v>
      </c>
      <c r="H116" s="11" t="s">
        <v>435</v>
      </c>
      <c r="I116" s="12" t="s">
        <v>470</v>
      </c>
      <c r="J116" s="13"/>
    </row>
    <row r="117" customFormat="false" ht="15" hidden="false" customHeight="false" outlineLevel="0" collapsed="false">
      <c r="A117" s="10" t="n">
        <v>113</v>
      </c>
      <c r="B117" s="11" t="s">
        <v>471</v>
      </c>
      <c r="C117" s="11" t="s">
        <v>472</v>
      </c>
      <c r="D117" s="11" t="s">
        <v>254</v>
      </c>
      <c r="E117" s="11" t="s">
        <v>473</v>
      </c>
      <c r="F117" s="11" t="s">
        <v>118</v>
      </c>
      <c r="G117" s="12" t="s">
        <v>421</v>
      </c>
      <c r="H117" s="11" t="s">
        <v>118</v>
      </c>
      <c r="I117" s="12" t="s">
        <v>474</v>
      </c>
      <c r="J117" s="13"/>
    </row>
    <row r="118" customFormat="false" ht="15" hidden="false" customHeight="false" outlineLevel="0" collapsed="false">
      <c r="A118" s="10" t="n">
        <v>114</v>
      </c>
      <c r="B118" s="11" t="s">
        <v>475</v>
      </c>
      <c r="C118" s="11" t="s">
        <v>476</v>
      </c>
      <c r="D118" s="11" t="s">
        <v>254</v>
      </c>
      <c r="E118" s="11" t="s">
        <v>473</v>
      </c>
      <c r="F118" s="11" t="s">
        <v>118</v>
      </c>
      <c r="G118" s="12" t="s">
        <v>421</v>
      </c>
      <c r="H118" s="11" t="s">
        <v>118</v>
      </c>
      <c r="I118" s="12" t="s">
        <v>477</v>
      </c>
      <c r="J118" s="13"/>
    </row>
    <row r="119" customFormat="false" ht="15" hidden="false" customHeight="false" outlineLevel="0" collapsed="false">
      <c r="A119" s="10" t="n">
        <v>115</v>
      </c>
      <c r="B119" s="11" t="s">
        <v>478</v>
      </c>
      <c r="C119" s="11" t="s">
        <v>479</v>
      </c>
      <c r="D119" s="11" t="s">
        <v>181</v>
      </c>
      <c r="E119" s="11" t="s">
        <v>473</v>
      </c>
      <c r="F119" s="11" t="s">
        <v>118</v>
      </c>
      <c r="G119" s="12" t="s">
        <v>264</v>
      </c>
      <c r="H119" s="11" t="s">
        <v>118</v>
      </c>
      <c r="I119" s="12" t="s">
        <v>480</v>
      </c>
      <c r="J119" s="13"/>
    </row>
    <row r="120" customFormat="false" ht="15" hidden="false" customHeight="false" outlineLevel="0" collapsed="false">
      <c r="A120" s="10" t="n">
        <v>116</v>
      </c>
      <c r="B120" s="11" t="s">
        <v>481</v>
      </c>
      <c r="C120" s="11" t="s">
        <v>482</v>
      </c>
      <c r="D120" s="11" t="s">
        <v>254</v>
      </c>
      <c r="E120" s="11" t="s">
        <v>473</v>
      </c>
      <c r="F120" s="11" t="s">
        <v>118</v>
      </c>
      <c r="G120" s="12" t="s">
        <v>65</v>
      </c>
      <c r="H120" s="11" t="s">
        <v>118</v>
      </c>
      <c r="I120" s="12" t="s">
        <v>483</v>
      </c>
      <c r="J120" s="13"/>
    </row>
    <row r="121" customFormat="false" ht="15" hidden="false" customHeight="false" outlineLevel="0" collapsed="false">
      <c r="A121" s="10" t="n">
        <v>117</v>
      </c>
      <c r="B121" s="11" t="s">
        <v>484</v>
      </c>
      <c r="C121" s="11" t="s">
        <v>485</v>
      </c>
      <c r="D121" s="11" t="s">
        <v>254</v>
      </c>
      <c r="E121" s="11" t="s">
        <v>473</v>
      </c>
      <c r="F121" s="11" t="s">
        <v>118</v>
      </c>
      <c r="G121" s="12" t="s">
        <v>92</v>
      </c>
      <c r="H121" s="11" t="s">
        <v>118</v>
      </c>
      <c r="I121" s="12" t="s">
        <v>486</v>
      </c>
      <c r="J121" s="13"/>
    </row>
    <row r="122" customFormat="false" ht="15" hidden="false" customHeight="false" outlineLevel="0" collapsed="false">
      <c r="A122" s="10" t="n">
        <v>118</v>
      </c>
      <c r="B122" s="11" t="s">
        <v>487</v>
      </c>
      <c r="C122" s="11" t="s">
        <v>488</v>
      </c>
      <c r="D122" s="11" t="s">
        <v>254</v>
      </c>
      <c r="E122" s="11" t="s">
        <v>473</v>
      </c>
      <c r="F122" s="11" t="s">
        <v>118</v>
      </c>
      <c r="G122" s="12" t="s">
        <v>489</v>
      </c>
      <c r="H122" s="11" t="s">
        <v>118</v>
      </c>
      <c r="I122" s="12" t="s">
        <v>490</v>
      </c>
      <c r="J122" s="13"/>
    </row>
    <row r="123" customFormat="false" ht="15" hidden="false" customHeight="false" outlineLevel="0" collapsed="false">
      <c r="A123" s="10" t="n">
        <v>119</v>
      </c>
      <c r="B123" s="11" t="s">
        <v>491</v>
      </c>
      <c r="C123" s="11" t="s">
        <v>492</v>
      </c>
      <c r="D123" s="11" t="s">
        <v>254</v>
      </c>
      <c r="E123" s="11" t="s">
        <v>473</v>
      </c>
      <c r="F123" s="11" t="s">
        <v>118</v>
      </c>
      <c r="G123" s="12" t="s">
        <v>489</v>
      </c>
      <c r="H123" s="11" t="s">
        <v>118</v>
      </c>
      <c r="I123" s="12" t="s">
        <v>493</v>
      </c>
      <c r="J123" s="13"/>
    </row>
    <row r="124" customFormat="false" ht="15" hidden="false" customHeight="false" outlineLevel="0" collapsed="false">
      <c r="A124" s="10" t="n">
        <v>120</v>
      </c>
      <c r="B124" s="11" t="s">
        <v>494</v>
      </c>
      <c r="C124" s="11" t="s">
        <v>495</v>
      </c>
      <c r="D124" s="11" t="s">
        <v>254</v>
      </c>
      <c r="E124" s="11" t="s">
        <v>473</v>
      </c>
      <c r="F124" s="11" t="s">
        <v>118</v>
      </c>
      <c r="G124" s="12" t="s">
        <v>463</v>
      </c>
      <c r="H124" s="11" t="s">
        <v>118</v>
      </c>
      <c r="I124" s="12" t="s">
        <v>496</v>
      </c>
      <c r="J124" s="13"/>
    </row>
    <row r="125" customFormat="false" ht="15" hidden="false" customHeight="false" outlineLevel="0" collapsed="false">
      <c r="A125" s="10" t="n">
        <v>121</v>
      </c>
      <c r="B125" s="11" t="s">
        <v>497</v>
      </c>
      <c r="C125" s="11" t="s">
        <v>498</v>
      </c>
      <c r="D125" s="11" t="s">
        <v>181</v>
      </c>
      <c r="E125" s="11" t="s">
        <v>473</v>
      </c>
      <c r="F125" s="11" t="s">
        <v>118</v>
      </c>
      <c r="G125" s="12"/>
      <c r="H125" s="11" t="s">
        <v>118</v>
      </c>
      <c r="I125" s="12" t="s">
        <v>499</v>
      </c>
      <c r="J125" s="13"/>
    </row>
    <row r="126" customFormat="false" ht="15" hidden="false" customHeight="false" outlineLevel="0" collapsed="false">
      <c r="A126" s="10" t="n">
        <v>122</v>
      </c>
      <c r="B126" s="11" t="s">
        <v>500</v>
      </c>
      <c r="C126" s="11" t="s">
        <v>501</v>
      </c>
      <c r="D126" s="11" t="s">
        <v>254</v>
      </c>
      <c r="E126" s="11" t="s">
        <v>473</v>
      </c>
      <c r="F126" s="11" t="s">
        <v>118</v>
      </c>
      <c r="G126" s="12" t="s">
        <v>264</v>
      </c>
      <c r="H126" s="11" t="s">
        <v>118</v>
      </c>
      <c r="I126" s="12" t="s">
        <v>502</v>
      </c>
      <c r="J126" s="13"/>
    </row>
    <row r="127" customFormat="false" ht="15" hidden="false" customHeight="false" outlineLevel="0" collapsed="false">
      <c r="A127" s="10" t="n">
        <v>123</v>
      </c>
      <c r="B127" s="11" t="s">
        <v>503</v>
      </c>
      <c r="C127" s="11" t="s">
        <v>504</v>
      </c>
      <c r="D127" s="11" t="s">
        <v>254</v>
      </c>
      <c r="E127" s="11" t="s">
        <v>473</v>
      </c>
      <c r="F127" s="11" t="s">
        <v>118</v>
      </c>
      <c r="G127" s="12" t="s">
        <v>65</v>
      </c>
      <c r="H127" s="11" t="s">
        <v>118</v>
      </c>
      <c r="I127" s="12" t="s">
        <v>505</v>
      </c>
      <c r="J127" s="13"/>
    </row>
    <row r="128" customFormat="false" ht="15" hidden="false" customHeight="false" outlineLevel="0" collapsed="false">
      <c r="A128" s="10" t="n">
        <v>124</v>
      </c>
      <c r="B128" s="11" t="s">
        <v>506</v>
      </c>
      <c r="C128" s="11" t="s">
        <v>507</v>
      </c>
      <c r="D128" s="11" t="s">
        <v>254</v>
      </c>
      <c r="E128" s="11" t="s">
        <v>473</v>
      </c>
      <c r="F128" s="11" t="s">
        <v>202</v>
      </c>
      <c r="G128" s="12" t="s">
        <v>118</v>
      </c>
      <c r="H128" s="11" t="s">
        <v>118</v>
      </c>
      <c r="I128" s="12" t="s">
        <v>508</v>
      </c>
      <c r="J128" s="13"/>
    </row>
    <row r="129" customFormat="false" ht="15" hidden="false" customHeight="false" outlineLevel="0" collapsed="false">
      <c r="A129" s="10" t="n">
        <v>125</v>
      </c>
      <c r="B129" s="11" t="s">
        <v>509</v>
      </c>
      <c r="C129" s="11" t="s">
        <v>510</v>
      </c>
      <c r="D129" s="11" t="s">
        <v>254</v>
      </c>
      <c r="E129" s="11" t="s">
        <v>473</v>
      </c>
      <c r="F129" s="11" t="s">
        <v>118</v>
      </c>
      <c r="G129" s="12"/>
      <c r="H129" s="11" t="s">
        <v>118</v>
      </c>
      <c r="I129" s="12" t="s">
        <v>511</v>
      </c>
      <c r="J129" s="13"/>
    </row>
    <row r="130" customFormat="false" ht="15" hidden="false" customHeight="false" outlineLevel="0" collapsed="false">
      <c r="A130" s="10" t="n">
        <v>126</v>
      </c>
      <c r="B130" s="11" t="s">
        <v>512</v>
      </c>
      <c r="C130" s="11" t="s">
        <v>513</v>
      </c>
      <c r="D130" s="11" t="s">
        <v>63</v>
      </c>
      <c r="E130" s="11" t="s">
        <v>473</v>
      </c>
      <c r="F130" s="11" t="s">
        <v>118</v>
      </c>
      <c r="G130" s="12" t="s">
        <v>421</v>
      </c>
      <c r="H130" s="11" t="s">
        <v>118</v>
      </c>
      <c r="I130" s="12" t="s">
        <v>514</v>
      </c>
      <c r="J130" s="13"/>
    </row>
    <row r="131" customFormat="false" ht="15" hidden="false" customHeight="false" outlineLevel="0" collapsed="false">
      <c r="A131" s="10" t="n">
        <v>127</v>
      </c>
      <c r="B131" s="11" t="s">
        <v>515</v>
      </c>
      <c r="C131" s="11" t="s">
        <v>516</v>
      </c>
      <c r="D131" s="11" t="s">
        <v>254</v>
      </c>
      <c r="E131" s="11" t="s">
        <v>473</v>
      </c>
      <c r="F131" s="11" t="s">
        <v>118</v>
      </c>
      <c r="G131" s="12" t="s">
        <v>286</v>
      </c>
      <c r="H131" s="11" t="s">
        <v>118</v>
      </c>
      <c r="I131" s="12" t="s">
        <v>517</v>
      </c>
      <c r="J131" s="13"/>
    </row>
    <row r="132" customFormat="false" ht="15" hidden="false" customHeight="false" outlineLevel="0" collapsed="false">
      <c r="A132" s="10" t="n">
        <v>128</v>
      </c>
      <c r="B132" s="11" t="s">
        <v>518</v>
      </c>
      <c r="C132" s="11" t="s">
        <v>519</v>
      </c>
      <c r="D132" s="11" t="s">
        <v>254</v>
      </c>
      <c r="E132" s="11" t="s">
        <v>473</v>
      </c>
      <c r="F132" s="11" t="s">
        <v>264</v>
      </c>
      <c r="G132" s="12" t="s">
        <v>312</v>
      </c>
      <c r="H132" s="11" t="s">
        <v>118</v>
      </c>
      <c r="I132" s="12" t="s">
        <v>520</v>
      </c>
      <c r="J132" s="13"/>
    </row>
    <row r="133" customFormat="false" ht="15" hidden="false" customHeight="false" outlineLevel="0" collapsed="false">
      <c r="A133" s="10" t="n">
        <v>129</v>
      </c>
      <c r="B133" s="11" t="s">
        <v>521</v>
      </c>
      <c r="C133" s="11" t="s">
        <v>522</v>
      </c>
      <c r="D133" s="11" t="s">
        <v>254</v>
      </c>
      <c r="E133" s="11" t="s">
        <v>473</v>
      </c>
      <c r="F133" s="11" t="s">
        <v>118</v>
      </c>
      <c r="G133" s="12" t="s">
        <v>523</v>
      </c>
      <c r="H133" s="11" t="s">
        <v>118</v>
      </c>
      <c r="I133" s="12" t="s">
        <v>524</v>
      </c>
      <c r="J133" s="13"/>
    </row>
    <row r="134" customFormat="false" ht="15" hidden="false" customHeight="false" outlineLevel="0" collapsed="false">
      <c r="A134" s="10" t="n">
        <v>130</v>
      </c>
      <c r="B134" s="11" t="s">
        <v>525</v>
      </c>
      <c r="C134" s="11" t="s">
        <v>526</v>
      </c>
      <c r="D134" s="11" t="s">
        <v>96</v>
      </c>
      <c r="E134" s="11" t="s">
        <v>527</v>
      </c>
      <c r="F134" s="11" t="s">
        <v>410</v>
      </c>
      <c r="G134" s="12" t="s">
        <v>528</v>
      </c>
      <c r="H134" s="11" t="s">
        <v>527</v>
      </c>
      <c r="I134" s="12" t="s">
        <v>529</v>
      </c>
      <c r="J134" s="13"/>
    </row>
    <row r="135" customFormat="false" ht="15" hidden="false" customHeight="false" outlineLevel="0" collapsed="false">
      <c r="A135" s="10" t="n">
        <v>131</v>
      </c>
      <c r="B135" s="11" t="s">
        <v>530</v>
      </c>
      <c r="C135" s="11" t="s">
        <v>531</v>
      </c>
      <c r="D135" s="11" t="s">
        <v>96</v>
      </c>
      <c r="E135" s="11" t="s">
        <v>527</v>
      </c>
      <c r="F135" s="11" t="s">
        <v>118</v>
      </c>
      <c r="G135" s="12" t="s">
        <v>532</v>
      </c>
      <c r="H135" s="11" t="s">
        <v>527</v>
      </c>
      <c r="I135" s="12" t="s">
        <v>533</v>
      </c>
      <c r="J135" s="13"/>
    </row>
    <row r="136" customFormat="false" ht="15" hidden="false" customHeight="false" outlineLevel="0" collapsed="false">
      <c r="A136" s="10" t="n">
        <v>132</v>
      </c>
      <c r="B136" s="11" t="s">
        <v>534</v>
      </c>
      <c r="C136" s="11" t="s">
        <v>535</v>
      </c>
      <c r="D136" s="11" t="s">
        <v>96</v>
      </c>
      <c r="E136" s="11" t="s">
        <v>527</v>
      </c>
      <c r="F136" s="11" t="s">
        <v>118</v>
      </c>
      <c r="G136" s="12" t="s">
        <v>463</v>
      </c>
      <c r="H136" s="11" t="s">
        <v>527</v>
      </c>
      <c r="I136" s="12" t="s">
        <v>536</v>
      </c>
      <c r="J136" s="13"/>
    </row>
    <row r="137" customFormat="false" ht="15" hidden="false" customHeight="false" outlineLevel="0" collapsed="false">
      <c r="A137" s="10" t="n">
        <v>133</v>
      </c>
      <c r="B137" s="11" t="s">
        <v>537</v>
      </c>
      <c r="C137" s="11" t="s">
        <v>538</v>
      </c>
      <c r="D137" s="11" t="s">
        <v>96</v>
      </c>
      <c r="E137" s="11" t="s">
        <v>527</v>
      </c>
      <c r="F137" s="11" t="s">
        <v>264</v>
      </c>
      <c r="G137" s="12" t="s">
        <v>539</v>
      </c>
      <c r="H137" s="11" t="s">
        <v>527</v>
      </c>
      <c r="I137" s="12" t="s">
        <v>540</v>
      </c>
      <c r="J137" s="13"/>
    </row>
    <row r="138" customFormat="false" ht="15" hidden="false" customHeight="false" outlineLevel="0" collapsed="false">
      <c r="A138" s="10" t="n">
        <v>134</v>
      </c>
      <c r="B138" s="11" t="s">
        <v>541</v>
      </c>
      <c r="C138" s="11" t="s">
        <v>542</v>
      </c>
      <c r="D138" s="11" t="s">
        <v>63</v>
      </c>
      <c r="E138" s="11" t="s">
        <v>527</v>
      </c>
      <c r="F138" s="11" t="s">
        <v>118</v>
      </c>
      <c r="G138" s="12" t="s">
        <v>543</v>
      </c>
      <c r="H138" s="11" t="s">
        <v>527</v>
      </c>
      <c r="I138" s="12" t="s">
        <v>544</v>
      </c>
      <c r="J138" s="13"/>
    </row>
    <row r="139" customFormat="false" ht="15" hidden="false" customHeight="false" outlineLevel="0" collapsed="false">
      <c r="A139" s="10" t="n">
        <v>135</v>
      </c>
      <c r="B139" s="11" t="s">
        <v>545</v>
      </c>
      <c r="C139" s="11" t="s">
        <v>546</v>
      </c>
      <c r="D139" s="11" t="s">
        <v>100</v>
      </c>
      <c r="E139" s="11" t="s">
        <v>527</v>
      </c>
      <c r="F139" s="11" t="s">
        <v>65</v>
      </c>
      <c r="G139" s="12" t="s">
        <v>436</v>
      </c>
      <c r="H139" s="11" t="s">
        <v>527</v>
      </c>
      <c r="I139" s="12" t="s">
        <v>547</v>
      </c>
      <c r="J139" s="13"/>
    </row>
    <row r="140" customFormat="false" ht="15" hidden="false" customHeight="false" outlineLevel="0" collapsed="false">
      <c r="A140" s="10" t="n">
        <v>136</v>
      </c>
      <c r="B140" s="11" t="s">
        <v>548</v>
      </c>
      <c r="C140" s="11" t="s">
        <v>549</v>
      </c>
      <c r="D140" s="11" t="s">
        <v>100</v>
      </c>
      <c r="E140" s="11" t="s">
        <v>527</v>
      </c>
      <c r="F140" s="11" t="s">
        <v>123</v>
      </c>
      <c r="G140" s="12" t="s">
        <v>550</v>
      </c>
      <c r="H140" s="11" t="s">
        <v>527</v>
      </c>
      <c r="I140" s="12" t="s">
        <v>551</v>
      </c>
      <c r="J140" s="13"/>
    </row>
    <row r="141" customFormat="false" ht="15" hidden="false" customHeight="false" outlineLevel="0" collapsed="false">
      <c r="A141" s="10" t="n">
        <v>137</v>
      </c>
      <c r="B141" s="11" t="s">
        <v>552</v>
      </c>
      <c r="C141" s="11" t="s">
        <v>553</v>
      </c>
      <c r="D141" s="11" t="s">
        <v>63</v>
      </c>
      <c r="E141" s="11" t="s">
        <v>174</v>
      </c>
      <c r="F141" s="11" t="s">
        <v>364</v>
      </c>
      <c r="G141" s="12" t="s">
        <v>554</v>
      </c>
      <c r="H141" s="11" t="s">
        <v>174</v>
      </c>
      <c r="I141" s="12" t="s">
        <v>555</v>
      </c>
      <c r="J141" s="13"/>
    </row>
    <row r="142" customFormat="false" ht="15" hidden="false" customHeight="false" outlineLevel="0" collapsed="false">
      <c r="A142" s="10" t="n">
        <v>138</v>
      </c>
      <c r="B142" s="11" t="s">
        <v>556</v>
      </c>
      <c r="C142" s="11" t="s">
        <v>557</v>
      </c>
      <c r="D142" s="11" t="s">
        <v>96</v>
      </c>
      <c r="E142" s="11" t="s">
        <v>174</v>
      </c>
      <c r="F142" s="11" t="s">
        <v>364</v>
      </c>
      <c r="G142" s="12" t="s">
        <v>554</v>
      </c>
      <c r="H142" s="11" t="s">
        <v>174</v>
      </c>
      <c r="I142" s="12" t="s">
        <v>558</v>
      </c>
      <c r="J142" s="13"/>
    </row>
    <row r="143" customFormat="false" ht="15" hidden="false" customHeight="false" outlineLevel="0" collapsed="false">
      <c r="A143" s="10" t="n">
        <v>139</v>
      </c>
      <c r="B143" s="11" t="s">
        <v>559</v>
      </c>
      <c r="C143" s="11" t="s">
        <v>560</v>
      </c>
      <c r="D143" s="11" t="s">
        <v>96</v>
      </c>
      <c r="E143" s="11" t="s">
        <v>174</v>
      </c>
      <c r="F143" s="11" t="s">
        <v>364</v>
      </c>
      <c r="G143" s="12" t="s">
        <v>554</v>
      </c>
      <c r="H143" s="11" t="s">
        <v>174</v>
      </c>
      <c r="I143" s="12" t="s">
        <v>561</v>
      </c>
      <c r="J143" s="13"/>
    </row>
    <row r="144" customFormat="false" ht="15" hidden="false" customHeight="false" outlineLevel="0" collapsed="false">
      <c r="A144" s="10" t="n">
        <v>140</v>
      </c>
      <c r="B144" s="11" t="s">
        <v>562</v>
      </c>
      <c r="C144" s="11" t="s">
        <v>563</v>
      </c>
      <c r="D144" s="11" t="s">
        <v>63</v>
      </c>
      <c r="E144" s="11" t="s">
        <v>174</v>
      </c>
      <c r="F144" s="11" t="s">
        <v>364</v>
      </c>
      <c r="G144" s="12" t="s">
        <v>554</v>
      </c>
      <c r="H144" s="11" t="s">
        <v>174</v>
      </c>
      <c r="I144" s="12" t="s">
        <v>564</v>
      </c>
      <c r="J144" s="13"/>
    </row>
    <row r="145" customFormat="false" ht="15" hidden="false" customHeight="false" outlineLevel="0" collapsed="false">
      <c r="A145" s="10" t="n">
        <v>141</v>
      </c>
      <c r="B145" s="11" t="s">
        <v>565</v>
      </c>
      <c r="C145" s="11" t="s">
        <v>566</v>
      </c>
      <c r="D145" s="11" t="s">
        <v>181</v>
      </c>
      <c r="E145" s="11" t="s">
        <v>174</v>
      </c>
      <c r="F145" s="11" t="s">
        <v>364</v>
      </c>
      <c r="G145" s="12" t="s">
        <v>554</v>
      </c>
      <c r="H145" s="11" t="s">
        <v>174</v>
      </c>
      <c r="I145" s="12" t="s">
        <v>567</v>
      </c>
      <c r="J145" s="13"/>
    </row>
    <row r="146" customFormat="false" ht="15" hidden="false" customHeight="false" outlineLevel="0" collapsed="false">
      <c r="A146" s="10" t="n">
        <v>142</v>
      </c>
      <c r="B146" s="11" t="s">
        <v>568</v>
      </c>
      <c r="C146" s="11" t="s">
        <v>569</v>
      </c>
      <c r="D146" s="11" t="s">
        <v>96</v>
      </c>
      <c r="E146" s="11" t="s">
        <v>174</v>
      </c>
      <c r="F146" s="11" t="s">
        <v>364</v>
      </c>
      <c r="G146" s="12" t="s">
        <v>554</v>
      </c>
      <c r="H146" s="11" t="s">
        <v>174</v>
      </c>
      <c r="I146" s="12" t="s">
        <v>570</v>
      </c>
      <c r="J146" s="13"/>
    </row>
    <row r="147" customFormat="false" ht="15" hidden="false" customHeight="false" outlineLevel="0" collapsed="false">
      <c r="A147" s="10" t="n">
        <v>143</v>
      </c>
      <c r="B147" s="11" t="s">
        <v>571</v>
      </c>
      <c r="C147" s="11" t="s">
        <v>572</v>
      </c>
      <c r="D147" s="11" t="s">
        <v>63</v>
      </c>
      <c r="E147" s="11" t="s">
        <v>174</v>
      </c>
      <c r="F147" s="11" t="s">
        <v>554</v>
      </c>
      <c r="G147" s="12" t="s">
        <v>364</v>
      </c>
      <c r="H147" s="11" t="s">
        <v>174</v>
      </c>
      <c r="I147" s="12" t="s">
        <v>573</v>
      </c>
      <c r="J147" s="13"/>
    </row>
    <row r="148" customFormat="false" ht="15" hidden="false" customHeight="false" outlineLevel="0" collapsed="false">
      <c r="A148" s="10" t="n">
        <v>144</v>
      </c>
      <c r="B148" s="11" t="s">
        <v>574</v>
      </c>
      <c r="C148" s="11" t="s">
        <v>575</v>
      </c>
      <c r="D148" s="11" t="s">
        <v>181</v>
      </c>
      <c r="E148" s="11" t="s">
        <v>174</v>
      </c>
      <c r="F148" s="11" t="s">
        <v>224</v>
      </c>
      <c r="G148" s="12"/>
      <c r="H148" s="11" t="s">
        <v>174</v>
      </c>
      <c r="I148" s="12" t="s">
        <v>576</v>
      </c>
      <c r="J148" s="13"/>
    </row>
    <row r="149" customFormat="false" ht="15" hidden="false" customHeight="false" outlineLevel="0" collapsed="false">
      <c r="A149" s="10" t="n">
        <v>145</v>
      </c>
      <c r="B149" s="11" t="s">
        <v>577</v>
      </c>
      <c r="C149" s="11" t="s">
        <v>578</v>
      </c>
      <c r="D149" s="11" t="s">
        <v>96</v>
      </c>
      <c r="E149" s="11" t="s">
        <v>174</v>
      </c>
      <c r="F149" s="11" t="s">
        <v>224</v>
      </c>
      <c r="G149" s="12"/>
      <c r="H149" s="11" t="s">
        <v>174</v>
      </c>
      <c r="I149" s="12" t="s">
        <v>579</v>
      </c>
      <c r="J149" s="13"/>
    </row>
    <row r="150" customFormat="false" ht="15" hidden="false" customHeight="false" outlineLevel="0" collapsed="false">
      <c r="A150" s="10" t="n">
        <v>146</v>
      </c>
      <c r="B150" s="11" t="s">
        <v>580</v>
      </c>
      <c r="C150" s="11" t="s">
        <v>581</v>
      </c>
      <c r="D150" s="11" t="s">
        <v>63</v>
      </c>
      <c r="E150" s="11" t="s">
        <v>174</v>
      </c>
      <c r="F150" s="11" t="s">
        <v>224</v>
      </c>
      <c r="G150" s="12"/>
      <c r="H150" s="11" t="s">
        <v>174</v>
      </c>
      <c r="I150" s="12" t="s">
        <v>582</v>
      </c>
      <c r="J150" s="13"/>
    </row>
    <row r="151" customFormat="false" ht="15" hidden="false" customHeight="false" outlineLevel="0" collapsed="false">
      <c r="A151" s="10" t="n">
        <v>147</v>
      </c>
      <c r="B151" s="11" t="s">
        <v>583</v>
      </c>
      <c r="C151" s="11" t="s">
        <v>584</v>
      </c>
      <c r="D151" s="11" t="s">
        <v>96</v>
      </c>
      <c r="E151" s="11" t="s">
        <v>174</v>
      </c>
      <c r="F151" s="11" t="s">
        <v>224</v>
      </c>
      <c r="G151" s="12"/>
      <c r="H151" s="11" t="s">
        <v>174</v>
      </c>
      <c r="I151" s="12" t="s">
        <v>585</v>
      </c>
      <c r="J151" s="13"/>
    </row>
    <row r="152" customFormat="false" ht="15" hidden="false" customHeight="false" outlineLevel="0" collapsed="false">
      <c r="A152" s="10" t="n">
        <v>148</v>
      </c>
      <c r="B152" s="11" t="s">
        <v>586</v>
      </c>
      <c r="C152" s="11" t="s">
        <v>587</v>
      </c>
      <c r="D152" s="11" t="s">
        <v>96</v>
      </c>
      <c r="E152" s="11" t="s">
        <v>174</v>
      </c>
      <c r="F152" s="11" t="s">
        <v>554</v>
      </c>
      <c r="G152" s="12"/>
      <c r="H152" s="11" t="s">
        <v>174</v>
      </c>
      <c r="I152" s="12" t="s">
        <v>588</v>
      </c>
      <c r="J152" s="13"/>
    </row>
    <row r="153" customFormat="false" ht="15" hidden="false" customHeight="false" outlineLevel="0" collapsed="false">
      <c r="A153" s="10" t="n">
        <v>149</v>
      </c>
      <c r="B153" s="11" t="s">
        <v>589</v>
      </c>
      <c r="C153" s="11" t="s">
        <v>590</v>
      </c>
      <c r="D153" s="11" t="s">
        <v>254</v>
      </c>
      <c r="E153" s="11" t="s">
        <v>174</v>
      </c>
      <c r="F153" s="11" t="s">
        <v>554</v>
      </c>
      <c r="G153" s="12" t="s">
        <v>463</v>
      </c>
      <c r="H153" s="11" t="s">
        <v>118</v>
      </c>
      <c r="I153" s="12" t="s">
        <v>591</v>
      </c>
      <c r="J153" s="13"/>
    </row>
    <row r="154" customFormat="false" ht="15" hidden="false" customHeight="false" outlineLevel="0" collapsed="false">
      <c r="A154" s="10" t="n">
        <v>150</v>
      </c>
      <c r="B154" s="11" t="s">
        <v>592</v>
      </c>
      <c r="C154" s="11" t="s">
        <v>593</v>
      </c>
      <c r="D154" s="11" t="s">
        <v>96</v>
      </c>
      <c r="E154" s="11" t="s">
        <v>174</v>
      </c>
      <c r="F154" s="11" t="s">
        <v>264</v>
      </c>
      <c r="G154" s="12" t="s">
        <v>410</v>
      </c>
      <c r="H154" s="11" t="s">
        <v>174</v>
      </c>
      <c r="I154" s="12" t="s">
        <v>594</v>
      </c>
      <c r="J154" s="13"/>
    </row>
    <row r="155" customFormat="false" ht="15" hidden="false" customHeight="false" outlineLevel="0" collapsed="false">
      <c r="A155" s="10" t="n">
        <v>151</v>
      </c>
      <c r="B155" s="11" t="s">
        <v>595</v>
      </c>
      <c r="C155" s="11" t="s">
        <v>596</v>
      </c>
      <c r="D155" s="11" t="s">
        <v>181</v>
      </c>
      <c r="E155" s="11" t="s">
        <v>174</v>
      </c>
      <c r="F155" s="11" t="s">
        <v>264</v>
      </c>
      <c r="G155" s="12" t="s">
        <v>410</v>
      </c>
      <c r="H155" s="11" t="s">
        <v>174</v>
      </c>
      <c r="I155" s="12" t="s">
        <v>597</v>
      </c>
      <c r="J155" s="13"/>
    </row>
    <row r="156" customFormat="false" ht="15" hidden="false" customHeight="false" outlineLevel="0" collapsed="false">
      <c r="A156" s="10" t="n">
        <v>152</v>
      </c>
      <c r="B156" s="11" t="s">
        <v>598</v>
      </c>
      <c r="C156" s="11" t="s">
        <v>599</v>
      </c>
      <c r="D156" s="11" t="s">
        <v>96</v>
      </c>
      <c r="E156" s="11" t="s">
        <v>174</v>
      </c>
      <c r="F156" s="11" t="s">
        <v>264</v>
      </c>
      <c r="G156" s="12"/>
      <c r="H156" s="11" t="s">
        <v>174</v>
      </c>
      <c r="I156" s="12" t="s">
        <v>600</v>
      </c>
      <c r="J156" s="13"/>
    </row>
    <row r="157" customFormat="false" ht="15" hidden="false" customHeight="false" outlineLevel="0" collapsed="false">
      <c r="A157" s="10" t="n">
        <v>153</v>
      </c>
      <c r="B157" s="11" t="s">
        <v>601</v>
      </c>
      <c r="C157" s="11" t="s">
        <v>602</v>
      </c>
      <c r="D157" s="11" t="s">
        <v>63</v>
      </c>
      <c r="E157" s="11" t="s">
        <v>174</v>
      </c>
      <c r="F157" s="11" t="s">
        <v>410</v>
      </c>
      <c r="G157" s="12" t="s">
        <v>603</v>
      </c>
      <c r="H157" s="11" t="s">
        <v>174</v>
      </c>
      <c r="I157" s="12" t="s">
        <v>604</v>
      </c>
      <c r="J157" s="13"/>
    </row>
    <row r="158" customFormat="false" ht="15" hidden="false" customHeight="false" outlineLevel="0" collapsed="false">
      <c r="A158" s="10" t="n">
        <v>154</v>
      </c>
      <c r="B158" s="11" t="s">
        <v>605</v>
      </c>
      <c r="C158" s="11" t="s">
        <v>606</v>
      </c>
      <c r="D158" s="11" t="s">
        <v>63</v>
      </c>
      <c r="E158" s="11" t="s">
        <v>174</v>
      </c>
      <c r="F158" s="11" t="s">
        <v>410</v>
      </c>
      <c r="G158" s="12" t="s">
        <v>554</v>
      </c>
      <c r="H158" s="11" t="s">
        <v>174</v>
      </c>
      <c r="I158" s="12" t="s">
        <v>607</v>
      </c>
      <c r="J158" s="13"/>
    </row>
    <row r="159" customFormat="false" ht="15" hidden="false" customHeight="false" outlineLevel="0" collapsed="false">
      <c r="A159" s="10" t="n">
        <v>155</v>
      </c>
      <c r="B159" s="11" t="s">
        <v>608</v>
      </c>
      <c r="C159" s="11" t="s">
        <v>609</v>
      </c>
      <c r="D159" s="11" t="s">
        <v>96</v>
      </c>
      <c r="E159" s="11" t="s">
        <v>174</v>
      </c>
      <c r="F159" s="11" t="s">
        <v>410</v>
      </c>
      <c r="G159" s="12" t="s">
        <v>554</v>
      </c>
      <c r="H159" s="11" t="s">
        <v>174</v>
      </c>
      <c r="I159" s="12" t="s">
        <v>610</v>
      </c>
      <c r="J159" s="13"/>
    </row>
    <row r="160" customFormat="false" ht="15" hidden="false" customHeight="false" outlineLevel="0" collapsed="false">
      <c r="A160" s="10" t="n">
        <v>156</v>
      </c>
      <c r="B160" s="11" t="s">
        <v>611</v>
      </c>
      <c r="C160" s="11" t="s">
        <v>612</v>
      </c>
      <c r="D160" s="11" t="s">
        <v>274</v>
      </c>
      <c r="E160" s="11" t="s">
        <v>174</v>
      </c>
      <c r="F160" s="11" t="s">
        <v>264</v>
      </c>
      <c r="G160" s="12" t="s">
        <v>142</v>
      </c>
      <c r="H160" s="11" t="s">
        <v>174</v>
      </c>
      <c r="I160" s="12" t="s">
        <v>613</v>
      </c>
      <c r="J160" s="13"/>
    </row>
    <row r="161" customFormat="false" ht="15" hidden="false" customHeight="false" outlineLevel="0" collapsed="false">
      <c r="A161" s="10" t="n">
        <v>157</v>
      </c>
      <c r="B161" s="11" t="s">
        <v>614</v>
      </c>
      <c r="C161" s="11" t="s">
        <v>615</v>
      </c>
      <c r="D161" s="11" t="s">
        <v>274</v>
      </c>
      <c r="E161" s="11" t="s">
        <v>174</v>
      </c>
      <c r="F161" s="11" t="s">
        <v>264</v>
      </c>
      <c r="G161" s="12" t="s">
        <v>350</v>
      </c>
      <c r="H161" s="11" t="s">
        <v>174</v>
      </c>
      <c r="I161" s="12" t="s">
        <v>616</v>
      </c>
      <c r="J161" s="13"/>
    </row>
    <row r="162" customFormat="false" ht="15" hidden="false" customHeight="false" outlineLevel="0" collapsed="false">
      <c r="A162" s="10" t="n">
        <v>158</v>
      </c>
      <c r="B162" s="11" t="s">
        <v>617</v>
      </c>
      <c r="C162" s="11" t="s">
        <v>618</v>
      </c>
      <c r="D162" s="11" t="s">
        <v>100</v>
      </c>
      <c r="E162" s="11" t="s">
        <v>174</v>
      </c>
      <c r="F162" s="11" t="s">
        <v>65</v>
      </c>
      <c r="G162" s="12"/>
      <c r="H162" s="11" t="s">
        <v>174</v>
      </c>
      <c r="I162" s="12" t="s">
        <v>619</v>
      </c>
      <c r="J162" s="13"/>
    </row>
    <row r="163" customFormat="false" ht="15" hidden="false" customHeight="false" outlineLevel="0" collapsed="false">
      <c r="A163" s="10" t="n">
        <v>159</v>
      </c>
      <c r="B163" s="11" t="s">
        <v>620</v>
      </c>
      <c r="C163" s="11" t="s">
        <v>621</v>
      </c>
      <c r="D163" s="11" t="s">
        <v>100</v>
      </c>
      <c r="E163" s="11" t="s">
        <v>174</v>
      </c>
      <c r="F163" s="11" t="s">
        <v>123</v>
      </c>
      <c r="G163" s="12" t="s">
        <v>459</v>
      </c>
      <c r="H163" s="11" t="s">
        <v>174</v>
      </c>
      <c r="I163" s="12" t="s">
        <v>622</v>
      </c>
      <c r="J163" s="13"/>
    </row>
    <row r="164" customFormat="false" ht="15" hidden="false" customHeight="false" outlineLevel="0" collapsed="false">
      <c r="A164" s="10" t="n">
        <v>160</v>
      </c>
      <c r="B164" s="11" t="s">
        <v>623</v>
      </c>
      <c r="C164" s="11" t="s">
        <v>624</v>
      </c>
      <c r="D164" s="11" t="s">
        <v>100</v>
      </c>
      <c r="E164" s="11" t="s">
        <v>174</v>
      </c>
      <c r="F164" s="11" t="s">
        <v>123</v>
      </c>
      <c r="G164" s="12"/>
      <c r="H164" s="11" t="s">
        <v>174</v>
      </c>
      <c r="I164" s="12" t="s">
        <v>625</v>
      </c>
      <c r="J164" s="13"/>
    </row>
    <row r="165" customFormat="false" ht="15" hidden="false" customHeight="false" outlineLevel="0" collapsed="false">
      <c r="A165" s="10" t="n">
        <v>161</v>
      </c>
      <c r="B165" s="11" t="s">
        <v>626</v>
      </c>
      <c r="C165" s="11" t="s">
        <v>627</v>
      </c>
      <c r="D165" s="11" t="s">
        <v>100</v>
      </c>
      <c r="E165" s="11" t="s">
        <v>174</v>
      </c>
      <c r="F165" s="11" t="s">
        <v>459</v>
      </c>
      <c r="G165" s="12"/>
      <c r="H165" s="11" t="s">
        <v>174</v>
      </c>
      <c r="I165" s="12" t="s">
        <v>628</v>
      </c>
      <c r="J165" s="13"/>
    </row>
    <row r="166" customFormat="false" ht="15" hidden="false" customHeight="false" outlineLevel="0" collapsed="false">
      <c r="A166" s="10" t="n">
        <v>162</v>
      </c>
      <c r="B166" s="11" t="s">
        <v>629</v>
      </c>
      <c r="C166" s="11" t="s">
        <v>630</v>
      </c>
      <c r="D166" s="11" t="s">
        <v>100</v>
      </c>
      <c r="E166" s="11" t="s">
        <v>174</v>
      </c>
      <c r="F166" s="11" t="s">
        <v>459</v>
      </c>
      <c r="G166" s="12"/>
      <c r="H166" s="11" t="s">
        <v>174</v>
      </c>
      <c r="I166" s="12" t="s">
        <v>631</v>
      </c>
      <c r="J166" s="13"/>
    </row>
    <row r="167" customFormat="false" ht="15" hidden="false" customHeight="false" outlineLevel="0" collapsed="false">
      <c r="A167" s="10" t="n">
        <v>163</v>
      </c>
      <c r="B167" s="11" t="s">
        <v>632</v>
      </c>
      <c r="C167" s="11" t="s">
        <v>633</v>
      </c>
      <c r="D167" s="11" t="s">
        <v>100</v>
      </c>
      <c r="E167" s="11" t="s">
        <v>174</v>
      </c>
      <c r="F167" s="11" t="s">
        <v>101</v>
      </c>
      <c r="G167" s="12"/>
      <c r="H167" s="11" t="s">
        <v>174</v>
      </c>
      <c r="I167" s="12" t="s">
        <v>634</v>
      </c>
      <c r="J167" s="13"/>
    </row>
    <row r="168" customFormat="false" ht="15" hidden="false" customHeight="false" outlineLevel="0" collapsed="false">
      <c r="A168" s="10" t="n">
        <v>164</v>
      </c>
      <c r="B168" s="11" t="s">
        <v>635</v>
      </c>
      <c r="C168" s="11" t="s">
        <v>636</v>
      </c>
      <c r="D168" s="11" t="s">
        <v>100</v>
      </c>
      <c r="E168" s="11" t="s">
        <v>174</v>
      </c>
      <c r="F168" s="11" t="s">
        <v>202</v>
      </c>
      <c r="G168" s="12"/>
      <c r="H168" s="11" t="s">
        <v>174</v>
      </c>
      <c r="I168" s="12" t="s">
        <v>637</v>
      </c>
      <c r="J168" s="13"/>
    </row>
    <row r="169" customFormat="false" ht="15" hidden="false" customHeight="false" outlineLevel="0" collapsed="false">
      <c r="A169" s="10" t="n">
        <v>165</v>
      </c>
      <c r="B169" s="11" t="s">
        <v>638</v>
      </c>
      <c r="C169" s="11" t="s">
        <v>639</v>
      </c>
      <c r="D169" s="11" t="s">
        <v>181</v>
      </c>
      <c r="E169" s="11" t="s">
        <v>174</v>
      </c>
      <c r="F169" s="11" t="s">
        <v>101</v>
      </c>
      <c r="G169" s="12" t="s">
        <v>123</v>
      </c>
      <c r="H169" s="11" t="s">
        <v>174</v>
      </c>
      <c r="I169" s="12" t="s">
        <v>640</v>
      </c>
      <c r="J169" s="13"/>
    </row>
    <row r="170" customFormat="false" ht="15" hidden="false" customHeight="false" outlineLevel="0" collapsed="false">
      <c r="A170" s="10" t="n">
        <v>166</v>
      </c>
      <c r="B170" s="11" t="s">
        <v>641</v>
      </c>
      <c r="C170" s="11" t="s">
        <v>642</v>
      </c>
      <c r="D170" s="11" t="s">
        <v>274</v>
      </c>
      <c r="E170" s="11" t="s">
        <v>174</v>
      </c>
      <c r="F170" s="11" t="s">
        <v>101</v>
      </c>
      <c r="G170" s="12" t="s">
        <v>65</v>
      </c>
      <c r="H170" s="11" t="s">
        <v>174</v>
      </c>
      <c r="I170" s="12" t="s">
        <v>643</v>
      </c>
      <c r="J170" s="13"/>
    </row>
    <row r="171" customFormat="false" ht="15" hidden="false" customHeight="false" outlineLevel="0" collapsed="false">
      <c r="A171" s="10" t="n">
        <v>167</v>
      </c>
      <c r="B171" s="11" t="s">
        <v>644</v>
      </c>
      <c r="C171" s="11" t="s">
        <v>645</v>
      </c>
      <c r="D171" s="11" t="s">
        <v>254</v>
      </c>
      <c r="E171" s="11" t="s">
        <v>174</v>
      </c>
      <c r="F171" s="11" t="s">
        <v>459</v>
      </c>
      <c r="G171" s="12"/>
      <c r="H171" s="11" t="s">
        <v>174</v>
      </c>
      <c r="I171" s="12" t="s">
        <v>646</v>
      </c>
      <c r="J171" s="13"/>
    </row>
    <row r="172" customFormat="false" ht="15" hidden="false" customHeight="false" outlineLevel="0" collapsed="false">
      <c r="A172" s="14"/>
      <c r="B172" s="14"/>
      <c r="C172" s="14"/>
      <c r="D172" s="14"/>
      <c r="E172" s="14"/>
      <c r="F172" s="14"/>
      <c r="G172" s="14"/>
      <c r="H172" s="14"/>
      <c r="I172" s="14"/>
      <c r="J172" s="15"/>
    </row>
    <row r="173" customFormat="false" ht="15" hidden="false" customHeight="false" outlineLevel="0" collapsed="false">
      <c r="A173" s="14"/>
      <c r="B173" s="14"/>
      <c r="C173" s="14"/>
      <c r="D173" s="14"/>
      <c r="E173" s="14"/>
      <c r="F173" s="14"/>
      <c r="G173" s="14"/>
      <c r="H173" s="14"/>
      <c r="I173" s="14"/>
      <c r="J173" s="15"/>
    </row>
    <row r="174" customFormat="false" ht="15" hidden="false" customHeight="false" outlineLevel="0" collapsed="false">
      <c r="A174" s="14"/>
      <c r="B174" s="14"/>
      <c r="C174" s="14"/>
      <c r="D174" s="14"/>
      <c r="E174" s="14"/>
      <c r="F174" s="14"/>
      <c r="G174" s="14"/>
      <c r="H174" s="14"/>
      <c r="I174" s="14"/>
      <c r="J174" s="15"/>
    </row>
    <row r="175" customFormat="false" ht="15" hidden="false" customHeight="false" outlineLevel="0" collapsed="false">
      <c r="A175" s="14"/>
      <c r="B175" s="14"/>
      <c r="C175" s="14"/>
      <c r="D175" s="14"/>
      <c r="E175" s="14"/>
      <c r="F175" s="14"/>
      <c r="G175" s="14"/>
      <c r="H175" s="14"/>
      <c r="I175" s="14"/>
      <c r="J175" s="15"/>
    </row>
    <row r="176" customFormat="false" ht="15" hidden="false" customHeight="false" outlineLevel="0" collapsed="false">
      <c r="A176" s="14"/>
      <c r="B176" s="14"/>
      <c r="C176" s="14"/>
      <c r="D176" s="14"/>
      <c r="E176" s="14"/>
      <c r="F176" s="14"/>
      <c r="G176" s="14"/>
      <c r="H176" s="14"/>
      <c r="I176" s="14"/>
      <c r="J176" s="15"/>
    </row>
    <row r="177" customFormat="false" ht="15" hidden="false" customHeight="false" outlineLevel="0" collapsed="false">
      <c r="A177" s="14"/>
      <c r="B177" s="14"/>
      <c r="C177" s="14"/>
      <c r="D177" s="14"/>
      <c r="E177" s="14"/>
      <c r="F177" s="14"/>
      <c r="G177" s="14"/>
      <c r="H177" s="14"/>
      <c r="I177" s="14"/>
      <c r="J177" s="15"/>
    </row>
    <row r="178" customFormat="false" ht="15" hidden="false" customHeight="false" outlineLevel="0" collapsed="false">
      <c r="A178" s="14"/>
      <c r="B178" s="14"/>
      <c r="C178" s="14"/>
      <c r="D178" s="14"/>
      <c r="E178" s="14"/>
      <c r="F178" s="14"/>
      <c r="G178" s="14"/>
      <c r="H178" s="14"/>
      <c r="I178" s="14"/>
      <c r="J178" s="15"/>
    </row>
    <row r="179" customFormat="false" ht="15" hidden="false" customHeight="false" outlineLevel="0" collapsed="false">
      <c r="A179" s="14"/>
      <c r="B179" s="14"/>
      <c r="C179" s="14"/>
      <c r="D179" s="14"/>
      <c r="E179" s="14"/>
      <c r="F179" s="14"/>
      <c r="G179" s="14"/>
      <c r="H179" s="14"/>
      <c r="I179" s="14"/>
      <c r="J179" s="15"/>
    </row>
    <row r="180" customFormat="false" ht="15" hidden="false" customHeight="false" outlineLevel="0" collapsed="false">
      <c r="A180" s="14"/>
      <c r="B180" s="14"/>
      <c r="C180" s="14"/>
      <c r="D180" s="14"/>
      <c r="E180" s="14"/>
      <c r="F180" s="14"/>
      <c r="G180" s="14"/>
      <c r="H180" s="14"/>
      <c r="I180" s="14"/>
      <c r="J180" s="15"/>
    </row>
    <row r="181" customFormat="false" ht="15" hidden="false" customHeight="false" outlineLevel="0" collapsed="false">
      <c r="A181" s="14"/>
      <c r="B181" s="14"/>
      <c r="C181" s="14"/>
      <c r="D181" s="14"/>
      <c r="E181" s="14"/>
      <c r="F181" s="14"/>
      <c r="G181" s="14"/>
      <c r="H181" s="14"/>
      <c r="I181" s="14"/>
      <c r="J181" s="15"/>
    </row>
    <row r="182" customFormat="false" ht="15" hidden="false" customHeight="false" outlineLevel="0" collapsed="false">
      <c r="A182" s="14"/>
      <c r="B182" s="14"/>
      <c r="C182" s="14"/>
      <c r="D182" s="14"/>
      <c r="E182" s="14"/>
      <c r="F182" s="14"/>
      <c r="G182" s="14"/>
      <c r="H182" s="14"/>
      <c r="I182" s="14"/>
      <c r="J182" s="15"/>
    </row>
    <row r="183" customFormat="false" ht="15" hidden="false" customHeight="false" outlineLevel="0" collapsed="false">
      <c r="A183" s="14"/>
      <c r="B183" s="14"/>
      <c r="C183" s="14"/>
      <c r="D183" s="14"/>
      <c r="E183" s="14"/>
      <c r="F183" s="14"/>
      <c r="G183" s="14"/>
      <c r="H183" s="14"/>
      <c r="I183" s="14"/>
      <c r="J183" s="15"/>
    </row>
    <row r="184" customFormat="false" ht="15" hidden="false" customHeight="false" outlineLevel="0" collapsed="false">
      <c r="A184" s="14"/>
      <c r="B184" s="14"/>
      <c r="C184" s="14"/>
      <c r="D184" s="14"/>
      <c r="E184" s="14"/>
      <c r="F184" s="14"/>
      <c r="G184" s="14"/>
      <c r="H184" s="14"/>
      <c r="I184" s="14"/>
      <c r="J184" s="15"/>
    </row>
    <row r="185" customFormat="false" ht="15" hidden="false" customHeight="false" outlineLevel="0" collapsed="false">
      <c r="A185" s="14"/>
      <c r="B185" s="14"/>
      <c r="C185" s="14"/>
      <c r="D185" s="14"/>
      <c r="E185" s="14"/>
      <c r="F185" s="14"/>
      <c r="G185" s="14"/>
      <c r="H185" s="14"/>
      <c r="I185" s="14"/>
      <c r="J185" s="15"/>
    </row>
    <row r="186" customFormat="false" ht="15" hidden="false" customHeight="false" outlineLevel="0" collapsed="false">
      <c r="A186" s="14"/>
      <c r="B186" s="14"/>
      <c r="C186" s="14"/>
      <c r="D186" s="14"/>
      <c r="E186" s="14"/>
      <c r="F186" s="14"/>
      <c r="G186" s="14"/>
      <c r="H186" s="14"/>
      <c r="I186" s="14"/>
      <c r="J186" s="15"/>
    </row>
  </sheetData>
  <autoFilter ref="A4:J171"/>
  <dataValidations count="4">
    <dataValidation allowBlank="true" errorStyle="stop" operator="between" showDropDown="false" showErrorMessage="false" showInputMessage="false" sqref="D5:D186" type="list">
      <formula1>"Barbell,Dumbbell/Kettlebell,Machine,Cable,Bodyweight/Rings,Bands"</formula1>
      <formula2>0</formula2>
    </dataValidation>
    <dataValidation allowBlank="true" errorStyle="stop" operator="between" showDropDown="false" showErrorMessage="false" showInputMessage="false" sqref="E5:E186" type="list">
      <formula1>"Squat,Hinge,Lunge/Single-leg,Horizontal push,Vertical push,Horizontal pull,Vertical pull,Olympic/Explosive,Plyometric,Core/Anti-movement,Carry,Isolation"</formula1>
      <formula2>0</formula2>
    </dataValidation>
    <dataValidation allowBlank="true" errorStyle="stop" operator="between" showDropDown="false" showErrorMessage="false" showInputMessage="false" sqref="F5:F186" type="list">
      <formula1>"Chest,Back,Shoulders,Traps,Biceps,Triceps,Forearms,Quads,Hamstrings,Glutes,Adductors,Calves,Core,Full body"</formula1>
      <formula2>0</formula2>
    </dataValidation>
    <dataValidation allowBlank="true" errorStyle="stop" operator="between" showDropDown="false" showErrorMessage="false" showInputMessage="false" sqref="H5:H186" type="list">
      <formula1>"Heavy compound,Compound,Isolation,Olympic lift,Plyometric,Core,Carry"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8"/>
    <col collapsed="false" customWidth="true" hidden="false" outlineLevel="0" max="4" min="4" style="0" width="13"/>
    <col collapsed="false" customWidth="true" hidden="false" outlineLevel="0" max="5" min="5" style="0" width="11"/>
    <col collapsed="false" customWidth="true" hidden="false" outlineLevel="0" max="6" min="6" style="0" width="19"/>
    <col collapsed="false" customWidth="true" hidden="false" outlineLevel="0" max="8" min="7" style="0" width="9"/>
    <col collapsed="false" customWidth="true" hidden="false" outlineLevel="0" max="9" min="9" style="0" width="70"/>
  </cols>
  <sheetData>
    <row r="1" customFormat="false" ht="24" hidden="false" customHeight="true" outlineLevel="0" collapsed="false">
      <c r="A1" s="1" t="s">
        <v>4</v>
      </c>
      <c r="B1" s="2"/>
      <c r="C1" s="2"/>
      <c r="D1" s="2"/>
      <c r="E1" s="2"/>
      <c r="F1" s="2"/>
      <c r="G1" s="2"/>
      <c r="H1" s="2"/>
      <c r="I1" s="2"/>
    </row>
    <row r="2" customFormat="false" ht="15" hidden="false" customHeight="false" outlineLevel="0" collapsed="false">
      <c r="A2" s="8" t="s">
        <v>647</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9" t="s">
        <v>51</v>
      </c>
      <c r="B4" s="9" t="s">
        <v>648</v>
      </c>
      <c r="C4" s="9" t="s">
        <v>53</v>
      </c>
      <c r="D4" s="9" t="s">
        <v>649</v>
      </c>
      <c r="E4" s="9" t="s">
        <v>650</v>
      </c>
      <c r="F4" s="9" t="s">
        <v>651</v>
      </c>
      <c r="G4" s="9" t="s">
        <v>652</v>
      </c>
      <c r="H4" s="9" t="s">
        <v>653</v>
      </c>
      <c r="I4" s="9" t="s">
        <v>654</v>
      </c>
    </row>
    <row r="5" customFormat="false" ht="15" hidden="false" customHeight="false" outlineLevel="0" collapsed="false">
      <c r="A5" s="16" t="n">
        <v>1</v>
      </c>
      <c r="B5" s="17" t="s">
        <v>655</v>
      </c>
      <c r="C5" s="17" t="s">
        <v>656</v>
      </c>
      <c r="D5" s="17" t="s">
        <v>657</v>
      </c>
      <c r="E5" s="16" t="n">
        <v>1</v>
      </c>
      <c r="F5" s="17" t="s">
        <v>658</v>
      </c>
      <c r="G5" s="16" t="n">
        <v>1</v>
      </c>
      <c r="H5" s="16" t="n">
        <v>4</v>
      </c>
      <c r="I5" s="18" t="s">
        <v>659</v>
      </c>
    </row>
    <row r="6" customFormat="false" ht="15" hidden="false" customHeight="false" outlineLevel="0" collapsed="false">
      <c r="A6" s="19" t="n">
        <v>2</v>
      </c>
      <c r="B6" s="20" t="s">
        <v>660</v>
      </c>
      <c r="C6" s="20" t="s">
        <v>661</v>
      </c>
      <c r="D6" s="20" t="s">
        <v>662</v>
      </c>
      <c r="E6" s="19" t="n">
        <v>2</v>
      </c>
      <c r="F6" s="20" t="s">
        <v>658</v>
      </c>
      <c r="G6" s="19" t="n">
        <v>5</v>
      </c>
      <c r="H6" s="19" t="n">
        <v>2</v>
      </c>
      <c r="I6" s="21" t="s">
        <v>663</v>
      </c>
    </row>
    <row r="7" customFormat="false" ht="15" hidden="false" customHeight="false" outlineLevel="0" collapsed="false">
      <c r="A7" s="19" t="n">
        <v>3</v>
      </c>
      <c r="B7" s="20" t="s">
        <v>664</v>
      </c>
      <c r="C7" s="20" t="s">
        <v>665</v>
      </c>
      <c r="D7" s="20" t="s">
        <v>662</v>
      </c>
      <c r="E7" s="19" t="n">
        <v>2</v>
      </c>
      <c r="F7" s="20" t="s">
        <v>658</v>
      </c>
      <c r="G7" s="19" t="n">
        <v>4</v>
      </c>
      <c r="H7" s="19" t="n">
        <v>3</v>
      </c>
      <c r="I7" s="21" t="s">
        <v>666</v>
      </c>
    </row>
    <row r="8" customFormat="false" ht="23.85" hidden="false" customHeight="false" outlineLevel="0" collapsed="false">
      <c r="A8" s="19" t="n">
        <v>4</v>
      </c>
      <c r="B8" s="20" t="s">
        <v>667</v>
      </c>
      <c r="C8" s="20" t="s">
        <v>668</v>
      </c>
      <c r="D8" s="20" t="s">
        <v>669</v>
      </c>
      <c r="E8" s="19" t="n">
        <v>4</v>
      </c>
      <c r="F8" s="20" t="s">
        <v>658</v>
      </c>
      <c r="G8" s="19" t="n">
        <v>2</v>
      </c>
      <c r="H8" s="19" t="n">
        <v>5</v>
      </c>
      <c r="I8" s="21" t="s">
        <v>670</v>
      </c>
    </row>
    <row r="9" customFormat="false" ht="23.85" hidden="false" customHeight="false" outlineLevel="0" collapsed="false">
      <c r="A9" s="19" t="n">
        <v>5</v>
      </c>
      <c r="B9" s="20" t="s">
        <v>671</v>
      </c>
      <c r="C9" s="20" t="s">
        <v>672</v>
      </c>
      <c r="D9" s="20" t="s">
        <v>662</v>
      </c>
      <c r="E9" s="19" t="n">
        <v>2</v>
      </c>
      <c r="F9" s="20" t="s">
        <v>64</v>
      </c>
      <c r="G9" s="19" t="n">
        <v>5</v>
      </c>
      <c r="H9" s="19" t="n">
        <v>2</v>
      </c>
      <c r="I9" s="21" t="s">
        <v>673</v>
      </c>
    </row>
    <row r="10" customFormat="false" ht="15" hidden="false" customHeight="false" outlineLevel="0" collapsed="false">
      <c r="A10" s="19" t="n">
        <v>6</v>
      </c>
      <c r="B10" s="20" t="s">
        <v>674</v>
      </c>
      <c r="C10" s="20" t="s">
        <v>675</v>
      </c>
      <c r="D10" s="20" t="s">
        <v>662</v>
      </c>
      <c r="E10" s="19" t="n">
        <v>2</v>
      </c>
      <c r="F10" s="20" t="s">
        <v>64</v>
      </c>
      <c r="G10" s="19" t="n">
        <v>6</v>
      </c>
      <c r="H10" s="19" t="n">
        <v>2</v>
      </c>
      <c r="I10" s="21" t="s">
        <v>676</v>
      </c>
    </row>
    <row r="11" customFormat="false" ht="15" hidden="false" customHeight="false" outlineLevel="0" collapsed="false">
      <c r="A11" s="19" t="n">
        <v>7</v>
      </c>
      <c r="B11" s="20" t="s">
        <v>677</v>
      </c>
      <c r="C11" s="20" t="s">
        <v>110</v>
      </c>
      <c r="D11" s="20" t="s">
        <v>678</v>
      </c>
      <c r="E11" s="19" t="n">
        <v>3</v>
      </c>
      <c r="F11" s="20" t="s">
        <v>64</v>
      </c>
      <c r="G11" s="19" t="n">
        <v>3</v>
      </c>
      <c r="H11" s="19" t="n">
        <v>2</v>
      </c>
      <c r="I11" s="21" t="s">
        <v>679</v>
      </c>
    </row>
    <row r="12" customFormat="false" ht="15" hidden="false" customHeight="false" outlineLevel="0" collapsed="false">
      <c r="A12" s="19" t="n">
        <v>8</v>
      </c>
      <c r="B12" s="20" t="s">
        <v>680</v>
      </c>
      <c r="C12" s="20" t="s">
        <v>642</v>
      </c>
      <c r="D12" s="20" t="s">
        <v>678</v>
      </c>
      <c r="E12" s="19" t="n">
        <v>3</v>
      </c>
      <c r="F12" s="20" t="s">
        <v>64</v>
      </c>
      <c r="G12" s="19" t="n">
        <v>4</v>
      </c>
      <c r="H12" s="19" t="n">
        <v>2</v>
      </c>
      <c r="I12" s="21" t="s">
        <v>681</v>
      </c>
    </row>
    <row r="13" customFormat="false" ht="15" hidden="false" customHeight="false" outlineLevel="0" collapsed="false">
      <c r="A13" s="19" t="n">
        <v>9</v>
      </c>
      <c r="B13" s="20" t="s">
        <v>682</v>
      </c>
      <c r="C13" s="20" t="s">
        <v>683</v>
      </c>
      <c r="D13" s="20" t="s">
        <v>662</v>
      </c>
      <c r="E13" s="19" t="n">
        <v>2</v>
      </c>
      <c r="F13" s="20" t="s">
        <v>122</v>
      </c>
      <c r="G13" s="19" t="n">
        <v>5</v>
      </c>
      <c r="H13" s="19" t="n">
        <v>2</v>
      </c>
      <c r="I13" s="21" t="s">
        <v>684</v>
      </c>
    </row>
    <row r="14" customFormat="false" ht="15" hidden="false" customHeight="false" outlineLevel="0" collapsed="false">
      <c r="A14" s="19" t="n">
        <v>10</v>
      </c>
      <c r="B14" s="20" t="s">
        <v>685</v>
      </c>
      <c r="C14" s="20" t="s">
        <v>157</v>
      </c>
      <c r="D14" s="20" t="s">
        <v>678</v>
      </c>
      <c r="E14" s="19" t="n">
        <v>3</v>
      </c>
      <c r="F14" s="20" t="s">
        <v>122</v>
      </c>
      <c r="G14" s="19" t="n">
        <v>3</v>
      </c>
      <c r="H14" s="19" t="n">
        <v>2</v>
      </c>
      <c r="I14" s="21" t="s">
        <v>686</v>
      </c>
    </row>
    <row r="15" customFormat="false" ht="15" hidden="false" customHeight="false" outlineLevel="0" collapsed="false">
      <c r="A15" s="19" t="n">
        <v>11</v>
      </c>
      <c r="B15" s="20" t="s">
        <v>687</v>
      </c>
      <c r="C15" s="20" t="s">
        <v>688</v>
      </c>
      <c r="D15" s="20" t="s">
        <v>678</v>
      </c>
      <c r="E15" s="19" t="n">
        <v>3</v>
      </c>
      <c r="F15" s="20" t="s">
        <v>122</v>
      </c>
      <c r="G15" s="19" t="n">
        <v>4</v>
      </c>
      <c r="H15" s="19" t="n">
        <v>2</v>
      </c>
      <c r="I15" s="21" t="s">
        <v>689</v>
      </c>
    </row>
    <row r="16" customFormat="false" ht="15" hidden="false" customHeight="false" outlineLevel="0" collapsed="false">
      <c r="A16" s="19" t="n">
        <v>12</v>
      </c>
      <c r="B16" s="20" t="s">
        <v>690</v>
      </c>
      <c r="C16" s="20" t="s">
        <v>691</v>
      </c>
      <c r="D16" s="20" t="s">
        <v>662</v>
      </c>
      <c r="E16" s="19" t="n">
        <v>2</v>
      </c>
      <c r="F16" s="20" t="s">
        <v>122</v>
      </c>
      <c r="G16" s="19" t="n">
        <v>6</v>
      </c>
      <c r="H16" s="19" t="n">
        <v>3</v>
      </c>
      <c r="I16" s="21" t="s">
        <v>692</v>
      </c>
    </row>
    <row r="17" customFormat="false" ht="15" hidden="false" customHeight="false" outlineLevel="0" collapsed="false">
      <c r="A17" s="19" t="n">
        <v>13</v>
      </c>
      <c r="B17" s="20" t="s">
        <v>693</v>
      </c>
      <c r="C17" s="20" t="s">
        <v>694</v>
      </c>
      <c r="D17" s="20" t="s">
        <v>662</v>
      </c>
      <c r="E17" s="19" t="n">
        <v>2</v>
      </c>
      <c r="F17" s="20" t="s">
        <v>185</v>
      </c>
      <c r="G17" s="19" t="n">
        <v>5</v>
      </c>
      <c r="H17" s="19" t="n">
        <v>2</v>
      </c>
      <c r="I17" s="21" t="s">
        <v>695</v>
      </c>
    </row>
    <row r="18" customFormat="false" ht="15" hidden="false" customHeight="false" outlineLevel="0" collapsed="false">
      <c r="A18" s="19" t="n">
        <v>14</v>
      </c>
      <c r="B18" s="20" t="s">
        <v>696</v>
      </c>
      <c r="C18" s="20" t="s">
        <v>697</v>
      </c>
      <c r="D18" s="20" t="s">
        <v>678</v>
      </c>
      <c r="E18" s="19" t="n">
        <v>3</v>
      </c>
      <c r="F18" s="20" t="s">
        <v>185</v>
      </c>
      <c r="G18" s="19" t="n">
        <v>4</v>
      </c>
      <c r="H18" s="19" t="n">
        <v>2</v>
      </c>
      <c r="I18" s="21" t="s">
        <v>698</v>
      </c>
    </row>
    <row r="19" customFormat="false" ht="15" hidden="false" customHeight="false" outlineLevel="0" collapsed="false">
      <c r="A19" s="19" t="n">
        <v>15</v>
      </c>
      <c r="B19" s="20" t="s">
        <v>699</v>
      </c>
      <c r="C19" s="20" t="s">
        <v>700</v>
      </c>
      <c r="D19" s="20" t="s">
        <v>678</v>
      </c>
      <c r="E19" s="19" t="n">
        <v>3</v>
      </c>
      <c r="F19" s="20" t="s">
        <v>185</v>
      </c>
      <c r="G19" s="19" t="n">
        <v>6</v>
      </c>
      <c r="H19" s="19" t="n">
        <v>2</v>
      </c>
      <c r="I19" s="21" t="s">
        <v>701</v>
      </c>
    </row>
    <row r="20" customFormat="false" ht="15" hidden="false" customHeight="false" outlineLevel="0" collapsed="false">
      <c r="A20" s="19" t="n">
        <v>16</v>
      </c>
      <c r="B20" s="20" t="s">
        <v>702</v>
      </c>
      <c r="C20" s="20" t="s">
        <v>703</v>
      </c>
      <c r="D20" s="20" t="s">
        <v>678</v>
      </c>
      <c r="E20" s="19" t="n">
        <v>3</v>
      </c>
      <c r="F20" s="20" t="s">
        <v>214</v>
      </c>
      <c r="G20" s="19" t="n">
        <v>3</v>
      </c>
      <c r="H20" s="19" t="n">
        <v>2</v>
      </c>
      <c r="I20" s="21" t="s">
        <v>704</v>
      </c>
    </row>
    <row r="21" customFormat="false" ht="15" hidden="false" customHeight="false" outlineLevel="0" collapsed="false">
      <c r="A21" s="19" t="n">
        <v>17</v>
      </c>
      <c r="B21" s="20" t="s">
        <v>356</v>
      </c>
      <c r="C21" s="20" t="s">
        <v>356</v>
      </c>
      <c r="D21" s="20" t="s">
        <v>678</v>
      </c>
      <c r="E21" s="19" t="n">
        <v>3</v>
      </c>
      <c r="F21" s="20" t="s">
        <v>214</v>
      </c>
      <c r="G21" s="19" t="n">
        <v>3</v>
      </c>
      <c r="H21" s="19" t="n">
        <v>2</v>
      </c>
      <c r="I21" s="21" t="s">
        <v>705</v>
      </c>
    </row>
    <row r="22" customFormat="false" ht="15" hidden="false" customHeight="false" outlineLevel="0" collapsed="false">
      <c r="A22" s="19" t="n">
        <v>18</v>
      </c>
      <c r="B22" s="20" t="s">
        <v>706</v>
      </c>
      <c r="C22" s="20" t="s">
        <v>707</v>
      </c>
      <c r="D22" s="20" t="s">
        <v>662</v>
      </c>
      <c r="E22" s="19" t="n">
        <v>2</v>
      </c>
      <c r="F22" s="20" t="s">
        <v>214</v>
      </c>
      <c r="G22" s="19" t="n">
        <v>6</v>
      </c>
      <c r="H22" s="19" t="n">
        <v>2</v>
      </c>
      <c r="I22" s="21" t="s">
        <v>708</v>
      </c>
    </row>
    <row r="23" customFormat="false" ht="15" hidden="false" customHeight="false" outlineLevel="0" collapsed="false">
      <c r="A23" s="19" t="n">
        <v>19</v>
      </c>
      <c r="B23" s="20" t="s">
        <v>709</v>
      </c>
      <c r="C23" s="20" t="s">
        <v>246</v>
      </c>
      <c r="D23" s="20" t="s">
        <v>678</v>
      </c>
      <c r="E23" s="19" t="n">
        <v>3</v>
      </c>
      <c r="F23" s="20" t="s">
        <v>214</v>
      </c>
      <c r="G23" s="19" t="n">
        <v>4</v>
      </c>
      <c r="H23" s="19" t="n">
        <v>2</v>
      </c>
      <c r="I23" s="21" t="s">
        <v>710</v>
      </c>
    </row>
    <row r="24" customFormat="false" ht="15" hidden="false" customHeight="false" outlineLevel="0" collapsed="false">
      <c r="A24" s="19" t="n">
        <v>20</v>
      </c>
      <c r="B24" s="20" t="s">
        <v>711</v>
      </c>
      <c r="C24" s="20" t="s">
        <v>712</v>
      </c>
      <c r="D24" s="20" t="s">
        <v>662</v>
      </c>
      <c r="E24" s="19" t="n">
        <v>2</v>
      </c>
      <c r="F24" s="20" t="s">
        <v>278</v>
      </c>
      <c r="G24" s="19" t="n">
        <v>5</v>
      </c>
      <c r="H24" s="19" t="n">
        <v>3</v>
      </c>
      <c r="I24" s="21" t="s">
        <v>713</v>
      </c>
    </row>
    <row r="25" customFormat="false" ht="15" hidden="false" customHeight="false" outlineLevel="0" collapsed="false">
      <c r="A25" s="19" t="n">
        <v>21</v>
      </c>
      <c r="B25" s="20" t="s">
        <v>714</v>
      </c>
      <c r="C25" s="20" t="s">
        <v>715</v>
      </c>
      <c r="D25" s="20" t="s">
        <v>678</v>
      </c>
      <c r="E25" s="19" t="n">
        <v>3</v>
      </c>
      <c r="F25" s="20" t="s">
        <v>278</v>
      </c>
      <c r="G25" s="19" t="n">
        <v>3</v>
      </c>
      <c r="H25" s="19" t="n">
        <v>2</v>
      </c>
      <c r="I25" s="21" t="s">
        <v>716</v>
      </c>
    </row>
    <row r="26" customFormat="false" ht="15" hidden="false" customHeight="false" outlineLevel="0" collapsed="false">
      <c r="A26" s="19" t="n">
        <v>22</v>
      </c>
      <c r="B26" s="20" t="s">
        <v>717</v>
      </c>
      <c r="C26" s="20" t="s">
        <v>718</v>
      </c>
      <c r="D26" s="20" t="s">
        <v>662</v>
      </c>
      <c r="E26" s="19" t="n">
        <v>2</v>
      </c>
      <c r="F26" s="20" t="s">
        <v>278</v>
      </c>
      <c r="G26" s="19" t="n">
        <v>6</v>
      </c>
      <c r="H26" s="19" t="n">
        <v>2</v>
      </c>
      <c r="I26" s="21" t="s">
        <v>719</v>
      </c>
    </row>
    <row r="27" customFormat="false" ht="15" hidden="false" customHeight="false" outlineLevel="0" collapsed="false">
      <c r="A27" s="19" t="n">
        <v>23</v>
      </c>
      <c r="B27" s="20" t="s">
        <v>720</v>
      </c>
      <c r="C27" s="20" t="s">
        <v>721</v>
      </c>
      <c r="D27" s="20" t="s">
        <v>678</v>
      </c>
      <c r="E27" s="19" t="n">
        <v>3</v>
      </c>
      <c r="F27" s="20" t="s">
        <v>316</v>
      </c>
      <c r="G27" s="19" t="n">
        <v>3</v>
      </c>
      <c r="H27" s="19" t="n">
        <v>2</v>
      </c>
      <c r="I27" s="21" t="s">
        <v>722</v>
      </c>
    </row>
    <row r="28" customFormat="false" ht="15" hidden="false" customHeight="false" outlineLevel="0" collapsed="false">
      <c r="A28" s="19" t="n">
        <v>24</v>
      </c>
      <c r="B28" s="20" t="s">
        <v>723</v>
      </c>
      <c r="C28" s="20" t="s">
        <v>723</v>
      </c>
      <c r="D28" s="20" t="s">
        <v>678</v>
      </c>
      <c r="E28" s="19" t="n">
        <v>3</v>
      </c>
      <c r="F28" s="20" t="s">
        <v>316</v>
      </c>
      <c r="G28" s="19" t="n">
        <v>5</v>
      </c>
      <c r="H28" s="19" t="n">
        <v>3</v>
      </c>
      <c r="I28" s="21" t="s">
        <v>724</v>
      </c>
    </row>
    <row r="29" customFormat="false" ht="15" hidden="false" customHeight="false" outlineLevel="0" collapsed="false">
      <c r="A29" s="19" t="n">
        <v>25</v>
      </c>
      <c r="B29" s="20" t="s">
        <v>725</v>
      </c>
      <c r="C29" s="20" t="s">
        <v>590</v>
      </c>
      <c r="D29" s="20" t="s">
        <v>662</v>
      </c>
      <c r="E29" s="19" t="n">
        <v>2</v>
      </c>
      <c r="F29" s="20" t="s">
        <v>360</v>
      </c>
      <c r="G29" s="19" t="n">
        <v>5</v>
      </c>
      <c r="H29" s="19" t="n">
        <v>2</v>
      </c>
      <c r="I29" s="21" t="s">
        <v>726</v>
      </c>
    </row>
    <row r="30" customFormat="false" ht="15" hidden="false" customHeight="false" outlineLevel="0" collapsed="false">
      <c r="A30" s="19" t="n">
        <v>26</v>
      </c>
      <c r="B30" s="20" t="s">
        <v>727</v>
      </c>
      <c r="C30" s="20" t="s">
        <v>728</v>
      </c>
      <c r="D30" s="20" t="s">
        <v>678</v>
      </c>
      <c r="E30" s="19" t="n">
        <v>3</v>
      </c>
      <c r="F30" s="20" t="s">
        <v>360</v>
      </c>
      <c r="G30" s="19" t="n">
        <v>3</v>
      </c>
      <c r="H30" s="19" t="n">
        <v>2</v>
      </c>
      <c r="I30" s="21" t="s">
        <v>729</v>
      </c>
    </row>
    <row r="31" customFormat="false" ht="15" hidden="false" customHeight="false" outlineLevel="0" collapsed="false">
      <c r="A31" s="19" t="n">
        <v>27</v>
      </c>
      <c r="B31" s="20" t="s">
        <v>730</v>
      </c>
      <c r="C31" s="20" t="s">
        <v>731</v>
      </c>
      <c r="D31" s="20" t="s">
        <v>662</v>
      </c>
      <c r="E31" s="19" t="n">
        <v>2</v>
      </c>
      <c r="F31" s="20" t="s">
        <v>360</v>
      </c>
      <c r="G31" s="19" t="n">
        <v>6</v>
      </c>
      <c r="H31" s="19" t="n">
        <v>2</v>
      </c>
      <c r="I31" s="21" t="s">
        <v>732</v>
      </c>
    </row>
    <row r="32" customFormat="false" ht="15" hidden="false" customHeight="false" outlineLevel="0" collapsed="false">
      <c r="A32" s="19" t="n">
        <v>28</v>
      </c>
      <c r="B32" s="20" t="s">
        <v>733</v>
      </c>
      <c r="C32" s="20" t="s">
        <v>734</v>
      </c>
      <c r="D32" s="20" t="s">
        <v>669</v>
      </c>
      <c r="E32" s="19" t="n">
        <v>4</v>
      </c>
      <c r="F32" s="20" t="s">
        <v>167</v>
      </c>
      <c r="G32" s="19" t="n">
        <v>2</v>
      </c>
      <c r="H32" s="19" t="n">
        <v>4</v>
      </c>
      <c r="I32" s="21" t="s">
        <v>735</v>
      </c>
    </row>
    <row r="33" customFormat="false" ht="15" hidden="false" customHeight="false" outlineLevel="0" collapsed="false">
      <c r="A33" s="19" t="n">
        <v>29</v>
      </c>
      <c r="B33" s="20" t="s">
        <v>736</v>
      </c>
      <c r="C33" s="20" t="s">
        <v>737</v>
      </c>
      <c r="D33" s="20" t="s">
        <v>662</v>
      </c>
      <c r="E33" s="19" t="n">
        <v>2</v>
      </c>
      <c r="F33" s="20" t="s">
        <v>167</v>
      </c>
      <c r="G33" s="19" t="n">
        <v>4</v>
      </c>
      <c r="H33" s="19" t="n">
        <v>3</v>
      </c>
      <c r="I33" s="21" t="s">
        <v>738</v>
      </c>
    </row>
    <row r="34" customFormat="false" ht="15" hidden="false" customHeight="false" outlineLevel="0" collapsed="false">
      <c r="A34" s="19" t="n">
        <v>30</v>
      </c>
      <c r="B34" s="20" t="s">
        <v>739</v>
      </c>
      <c r="C34" s="20" t="s">
        <v>740</v>
      </c>
      <c r="D34" s="20" t="s">
        <v>662</v>
      </c>
      <c r="E34" s="19" t="n">
        <v>2</v>
      </c>
      <c r="F34" s="20" t="s">
        <v>167</v>
      </c>
      <c r="G34" s="19" t="n">
        <v>5</v>
      </c>
      <c r="H34" s="19" t="n">
        <v>2</v>
      </c>
      <c r="I34" s="21" t="s">
        <v>741</v>
      </c>
    </row>
    <row r="35" customFormat="false" ht="15" hidden="false" customHeight="false" outlineLevel="0" collapsed="false">
      <c r="A35" s="16" t="n">
        <v>31</v>
      </c>
      <c r="B35" s="17" t="s">
        <v>742</v>
      </c>
      <c r="C35" s="17" t="s">
        <v>743</v>
      </c>
      <c r="D35" s="17" t="s">
        <v>657</v>
      </c>
      <c r="E35" s="16" t="n">
        <v>1</v>
      </c>
      <c r="F35" s="17" t="s">
        <v>435</v>
      </c>
      <c r="G35" s="16" t="n">
        <v>3</v>
      </c>
      <c r="H35" s="16" t="n">
        <v>3</v>
      </c>
      <c r="I35" s="18" t="s">
        <v>744</v>
      </c>
    </row>
    <row r="36" customFormat="false" ht="15" hidden="false" customHeight="false" outlineLevel="0" collapsed="false">
      <c r="A36" s="19" t="n">
        <v>32</v>
      </c>
      <c r="B36" s="20" t="s">
        <v>745</v>
      </c>
      <c r="C36" s="20" t="s">
        <v>458</v>
      </c>
      <c r="D36" s="20" t="s">
        <v>678</v>
      </c>
      <c r="E36" s="19" t="n">
        <v>3</v>
      </c>
      <c r="F36" s="20" t="s">
        <v>435</v>
      </c>
      <c r="G36" s="19" t="n">
        <v>3</v>
      </c>
      <c r="H36" s="19" t="n">
        <v>2</v>
      </c>
      <c r="I36" s="21" t="s">
        <v>746</v>
      </c>
    </row>
    <row r="37" customFormat="false" ht="15" hidden="false" customHeight="false" outlineLevel="0" collapsed="false">
      <c r="A37" s="19" t="n">
        <v>33</v>
      </c>
      <c r="B37" s="20" t="s">
        <v>747</v>
      </c>
      <c r="C37" s="20" t="s">
        <v>748</v>
      </c>
      <c r="D37" s="20" t="s">
        <v>678</v>
      </c>
      <c r="E37" s="19" t="n">
        <v>3</v>
      </c>
      <c r="F37" s="20" t="s">
        <v>435</v>
      </c>
      <c r="G37" s="19" t="n">
        <v>4</v>
      </c>
      <c r="H37" s="19" t="n">
        <v>2</v>
      </c>
      <c r="I37" s="21" t="s">
        <v>749</v>
      </c>
    </row>
    <row r="38" customFormat="false" ht="15" hidden="false" customHeight="false" outlineLevel="0" collapsed="false">
      <c r="A38" s="19" t="n">
        <v>34</v>
      </c>
      <c r="B38" s="20" t="s">
        <v>482</v>
      </c>
      <c r="C38" s="20" t="s">
        <v>482</v>
      </c>
      <c r="D38" s="20" t="s">
        <v>678</v>
      </c>
      <c r="E38" s="19" t="n">
        <v>3</v>
      </c>
      <c r="F38" s="20" t="s">
        <v>473</v>
      </c>
      <c r="G38" s="19" t="n">
        <v>4</v>
      </c>
      <c r="H38" s="19" t="n">
        <v>2</v>
      </c>
      <c r="I38" s="21" t="s">
        <v>750</v>
      </c>
    </row>
    <row r="39" customFormat="false" ht="15" hidden="false" customHeight="false" outlineLevel="0" collapsed="false">
      <c r="A39" s="19" t="n">
        <v>35</v>
      </c>
      <c r="B39" s="20" t="s">
        <v>485</v>
      </c>
      <c r="C39" s="20" t="s">
        <v>485</v>
      </c>
      <c r="D39" s="20" t="s">
        <v>678</v>
      </c>
      <c r="E39" s="19" t="n">
        <v>3</v>
      </c>
      <c r="F39" s="20" t="s">
        <v>473</v>
      </c>
      <c r="G39" s="19" t="n">
        <v>5</v>
      </c>
      <c r="H39" s="19" t="n">
        <v>2</v>
      </c>
      <c r="I39" s="21" t="s">
        <v>751</v>
      </c>
    </row>
    <row r="40" customFormat="false" ht="15" hidden="false" customHeight="false" outlineLevel="0" collapsed="false">
      <c r="A40" s="19" t="n">
        <v>36</v>
      </c>
      <c r="B40" s="20" t="s">
        <v>752</v>
      </c>
      <c r="C40" s="20" t="s">
        <v>753</v>
      </c>
      <c r="D40" s="20" t="s">
        <v>678</v>
      </c>
      <c r="E40" s="19" t="n">
        <v>3</v>
      </c>
      <c r="F40" s="20" t="s">
        <v>527</v>
      </c>
      <c r="G40" s="19" t="n">
        <v>4</v>
      </c>
      <c r="H40" s="19" t="n">
        <v>2</v>
      </c>
      <c r="I40" s="21" t="s">
        <v>754</v>
      </c>
    </row>
    <row r="41" customFormat="false" ht="15" hidden="false" customHeight="false" outlineLevel="0" collapsed="false">
      <c r="A41" s="19" t="n">
        <v>37</v>
      </c>
      <c r="B41" s="20" t="s">
        <v>755</v>
      </c>
      <c r="C41" s="20" t="s">
        <v>756</v>
      </c>
      <c r="D41" s="20" t="s">
        <v>669</v>
      </c>
      <c r="E41" s="19" t="n">
        <v>4</v>
      </c>
      <c r="F41" s="20" t="s">
        <v>527</v>
      </c>
      <c r="G41" s="19" t="n">
        <v>4</v>
      </c>
      <c r="H41" s="19" t="n">
        <v>2</v>
      </c>
      <c r="I41" s="21" t="s">
        <v>757</v>
      </c>
    </row>
    <row r="42" customFormat="false" ht="15" hidden="false" customHeight="false" outlineLevel="0" collapsed="false">
      <c r="A42" s="19" t="n">
        <v>38</v>
      </c>
      <c r="B42" s="20" t="s">
        <v>758</v>
      </c>
      <c r="C42" s="20" t="s">
        <v>759</v>
      </c>
      <c r="D42" s="20" t="s">
        <v>662</v>
      </c>
      <c r="E42" s="19" t="n">
        <v>2</v>
      </c>
      <c r="F42" s="20" t="s">
        <v>123</v>
      </c>
      <c r="G42" s="19" t="n">
        <v>6</v>
      </c>
      <c r="H42" s="19" t="n">
        <v>2</v>
      </c>
      <c r="I42" s="21" t="s">
        <v>760</v>
      </c>
    </row>
    <row r="43" customFormat="false" ht="15" hidden="false" customHeight="false" outlineLevel="0" collapsed="false">
      <c r="A43" s="19" t="n">
        <v>39</v>
      </c>
      <c r="B43" s="20" t="s">
        <v>761</v>
      </c>
      <c r="C43" s="20" t="s">
        <v>762</v>
      </c>
      <c r="D43" s="20" t="s">
        <v>678</v>
      </c>
      <c r="E43" s="19" t="n">
        <v>3</v>
      </c>
      <c r="F43" s="20" t="s">
        <v>101</v>
      </c>
      <c r="G43" s="19" t="n">
        <v>5</v>
      </c>
      <c r="H43" s="19" t="n">
        <v>2</v>
      </c>
      <c r="I43" s="21" t="s">
        <v>763</v>
      </c>
    </row>
    <row r="44" customFormat="false" ht="15" hidden="false" customHeight="false" outlineLevel="0" collapsed="false">
      <c r="A44" s="19" t="n">
        <v>40</v>
      </c>
      <c r="B44" s="20" t="s">
        <v>764</v>
      </c>
      <c r="C44" s="20" t="s">
        <v>764</v>
      </c>
      <c r="D44" s="20" t="s">
        <v>662</v>
      </c>
      <c r="E44" s="19" t="n">
        <v>2</v>
      </c>
      <c r="F44" s="20" t="s">
        <v>264</v>
      </c>
      <c r="G44" s="19" t="n">
        <v>5</v>
      </c>
      <c r="H44" s="19" t="n">
        <v>2</v>
      </c>
      <c r="I44" s="21" t="s">
        <v>765</v>
      </c>
    </row>
    <row r="45" customFormat="false" ht="15" hidden="false" customHeight="false" outlineLevel="0" collapsed="false">
      <c r="A45" s="19" t="n">
        <v>41</v>
      </c>
      <c r="B45" s="20" t="s">
        <v>766</v>
      </c>
      <c r="C45" s="20" t="s">
        <v>766</v>
      </c>
      <c r="D45" s="20" t="s">
        <v>662</v>
      </c>
      <c r="E45" s="19" t="n">
        <v>2</v>
      </c>
      <c r="F45" s="20" t="s">
        <v>65</v>
      </c>
      <c r="G45" s="19" t="n">
        <v>7</v>
      </c>
      <c r="H45" s="19" t="n">
        <v>2</v>
      </c>
      <c r="I45" s="21" t="s">
        <v>767</v>
      </c>
    </row>
    <row r="46" customFormat="false" ht="15" hidden="false" customHeight="false" outlineLevel="0" collapsed="false">
      <c r="A46" s="19" t="n">
        <v>42</v>
      </c>
      <c r="B46" s="20" t="s">
        <v>768</v>
      </c>
      <c r="C46" s="20" t="s">
        <v>769</v>
      </c>
      <c r="D46" s="20" t="s">
        <v>678</v>
      </c>
      <c r="E46" s="19" t="n">
        <v>3</v>
      </c>
      <c r="F46" s="20" t="s">
        <v>459</v>
      </c>
      <c r="G46" s="19" t="n">
        <v>6</v>
      </c>
      <c r="H46" s="19" t="n">
        <v>2</v>
      </c>
      <c r="I46" s="21" t="s">
        <v>770</v>
      </c>
    </row>
    <row r="47" customFormat="false" ht="15" hidden="false" customHeight="false" outlineLevel="0" collapsed="false">
      <c r="A47" s="19" t="n">
        <v>43</v>
      </c>
      <c r="B47" s="20" t="s">
        <v>771</v>
      </c>
      <c r="C47" s="20" t="s">
        <v>771</v>
      </c>
      <c r="D47" s="20" t="s">
        <v>662</v>
      </c>
      <c r="E47" s="19" t="n">
        <v>2</v>
      </c>
      <c r="F47" s="20" t="s">
        <v>202</v>
      </c>
      <c r="G47" s="19" t="n">
        <v>6</v>
      </c>
      <c r="H47" s="19" t="n">
        <v>2</v>
      </c>
      <c r="I47" s="21" t="s">
        <v>772</v>
      </c>
    </row>
    <row r="48" customFormat="false" ht="15" hidden="false" customHeight="false" outlineLevel="0" collapsed="false">
      <c r="A48" s="19" t="n">
        <v>44</v>
      </c>
      <c r="B48" s="20" t="s">
        <v>773</v>
      </c>
      <c r="C48" s="20" t="s">
        <v>773</v>
      </c>
      <c r="D48" s="20" t="s">
        <v>662</v>
      </c>
      <c r="E48" s="19" t="n">
        <v>2</v>
      </c>
      <c r="F48" s="20" t="s">
        <v>142</v>
      </c>
      <c r="G48" s="19" t="n">
        <v>6</v>
      </c>
      <c r="H48" s="19" t="n">
        <v>3</v>
      </c>
      <c r="I48" s="21" t="s">
        <v>774</v>
      </c>
    </row>
    <row r="49" customFormat="false" ht="15" hidden="false" customHeight="false" outlineLevel="0" collapsed="false">
      <c r="A49" s="19" t="n">
        <v>45</v>
      </c>
      <c r="B49" s="20" t="s">
        <v>775</v>
      </c>
      <c r="C49" s="20" t="s">
        <v>776</v>
      </c>
      <c r="D49" s="20" t="s">
        <v>662</v>
      </c>
      <c r="E49" s="19" t="n">
        <v>2</v>
      </c>
      <c r="F49" s="20" t="s">
        <v>215</v>
      </c>
      <c r="G49" s="19" t="n">
        <v>7</v>
      </c>
      <c r="H49" s="19" t="n">
        <v>2</v>
      </c>
      <c r="I49" s="21" t="s">
        <v>777</v>
      </c>
    </row>
    <row r="50" customFormat="false" ht="15" hidden="false" customHeight="false" outlineLevel="0" collapsed="false">
      <c r="A50" s="19" t="n">
        <v>46</v>
      </c>
      <c r="B50" s="20" t="s">
        <v>504</v>
      </c>
      <c r="C50" s="20" t="s">
        <v>504</v>
      </c>
      <c r="D50" s="20" t="s">
        <v>678</v>
      </c>
      <c r="E50" s="19" t="n">
        <v>3</v>
      </c>
      <c r="F50" s="20" t="s">
        <v>118</v>
      </c>
      <c r="G50" s="19" t="n">
        <v>7</v>
      </c>
      <c r="H50" s="19" t="n">
        <v>2</v>
      </c>
      <c r="I50" s="21" t="s">
        <v>778</v>
      </c>
    </row>
    <row r="51" customFormat="false" ht="15" hidden="false" customHeight="false" outlineLevel="0" collapsed="false">
      <c r="A51" s="19" t="n">
        <v>47</v>
      </c>
      <c r="B51" s="20" t="s">
        <v>779</v>
      </c>
      <c r="C51" s="20" t="s">
        <v>780</v>
      </c>
      <c r="D51" s="20" t="s">
        <v>678</v>
      </c>
      <c r="E51" s="19" t="n">
        <v>3</v>
      </c>
      <c r="F51" s="20" t="s">
        <v>364</v>
      </c>
      <c r="G51" s="19" t="n">
        <v>8</v>
      </c>
      <c r="H51" s="19" t="n">
        <v>2</v>
      </c>
      <c r="I51" s="21" t="s">
        <v>781</v>
      </c>
    </row>
    <row r="52" customFormat="false" ht="15" hidden="false" customHeight="false" outlineLevel="0" collapsed="false">
      <c r="A52" s="19" t="n">
        <v>48</v>
      </c>
      <c r="B52" s="20" t="s">
        <v>782</v>
      </c>
      <c r="C52" s="20" t="s">
        <v>783</v>
      </c>
      <c r="D52" s="20" t="s">
        <v>662</v>
      </c>
      <c r="E52" s="19" t="n">
        <v>2</v>
      </c>
      <c r="F52" s="20" t="s">
        <v>410</v>
      </c>
      <c r="G52" s="19" t="n">
        <v>8</v>
      </c>
      <c r="H52" s="19" t="n">
        <v>2</v>
      </c>
      <c r="I52" s="21" t="s">
        <v>784</v>
      </c>
    </row>
    <row r="53" customFormat="false" ht="15" hidden="false" customHeight="false" outlineLevel="0" collapsed="false">
      <c r="A53" s="19" t="n">
        <v>49</v>
      </c>
      <c r="B53" s="20" t="s">
        <v>785</v>
      </c>
      <c r="C53" s="20" t="s">
        <v>786</v>
      </c>
      <c r="D53" s="20" t="s">
        <v>662</v>
      </c>
      <c r="E53" s="19" t="n">
        <v>2</v>
      </c>
      <c r="F53" s="20" t="s">
        <v>554</v>
      </c>
      <c r="G53" s="19" t="n">
        <v>8</v>
      </c>
      <c r="H53" s="19" t="n">
        <v>2</v>
      </c>
      <c r="I53" s="21" t="s">
        <v>787</v>
      </c>
    </row>
  </sheetData>
  <autoFilter ref="A4:I53"/>
  <dataValidations count="1">
    <dataValidation allowBlank="true" errorStyle="stop" operator="between" showDropDown="false" showErrorMessage="false" showInputMessage="false" sqref="F5:F53" type="list">
      <formula1>"Always,Squat,Hinge,Lunge/Single-leg,Horizontal push,Vertical push,Horizontal pull,Vertical pull,Olympic/Explosive,Plyometric,Core/Anti-movement,Carry,Isolation,Chest,Back,Shoulders,Traps,Biceps,Triceps,Forearms,Quads,Hamstrings,Glutes,Adductors,Calves,Cor"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30"/>
    <col collapsed="false" customWidth="true" hidden="false" outlineLevel="0" max="4" min="4" style="0" width="13"/>
    <col collapsed="false" customWidth="true" hidden="false" outlineLevel="0" max="5" min="5" style="0" width="11"/>
    <col collapsed="false" customWidth="true" hidden="false" outlineLevel="0" max="6" min="6" style="0" width="15"/>
    <col collapsed="false" customWidth="true" hidden="false" outlineLevel="0" max="8" min="7" style="0" width="9"/>
    <col collapsed="false" customWidth="true" hidden="false" outlineLevel="0" max="9" min="9" style="0" width="70"/>
  </cols>
  <sheetData>
    <row r="1" customFormat="false" ht="24" hidden="false" customHeight="true" outlineLevel="0" collapsed="false">
      <c r="A1" s="1" t="s">
        <v>6</v>
      </c>
      <c r="B1" s="2"/>
      <c r="C1" s="2"/>
      <c r="D1" s="2"/>
      <c r="E1" s="2"/>
      <c r="F1" s="2"/>
      <c r="G1" s="2"/>
      <c r="H1" s="2"/>
      <c r="I1" s="2"/>
    </row>
    <row r="2" customFormat="false" ht="15" hidden="false" customHeight="false" outlineLevel="0" collapsed="false">
      <c r="A2" s="8" t="s">
        <v>788</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9" t="s">
        <v>51</v>
      </c>
      <c r="B4" s="9" t="s">
        <v>52</v>
      </c>
      <c r="C4" s="9" t="s">
        <v>53</v>
      </c>
      <c r="D4" s="9" t="s">
        <v>789</v>
      </c>
      <c r="E4" s="9" t="s">
        <v>790</v>
      </c>
      <c r="F4" s="9" t="s">
        <v>791</v>
      </c>
      <c r="G4" s="9" t="s">
        <v>652</v>
      </c>
      <c r="H4" s="9" t="s">
        <v>653</v>
      </c>
      <c r="I4" s="9" t="s">
        <v>654</v>
      </c>
    </row>
    <row r="5" customFormat="false" ht="15" hidden="false" customHeight="false" outlineLevel="0" collapsed="false">
      <c r="A5" s="16" t="n">
        <v>1</v>
      </c>
      <c r="B5" s="17" t="s">
        <v>792</v>
      </c>
      <c r="C5" s="17" t="s">
        <v>793</v>
      </c>
      <c r="D5" s="17" t="s">
        <v>794</v>
      </c>
      <c r="E5" s="16" t="n">
        <v>1</v>
      </c>
      <c r="F5" s="17" t="s">
        <v>658</v>
      </c>
      <c r="G5" s="16" t="n">
        <v>1</v>
      </c>
      <c r="H5" s="16" t="n">
        <v>2</v>
      </c>
      <c r="I5" s="18" t="s">
        <v>795</v>
      </c>
    </row>
    <row r="6" customFormat="false" ht="15" hidden="false" customHeight="false" outlineLevel="0" collapsed="false">
      <c r="A6" s="16" t="n">
        <v>2</v>
      </c>
      <c r="B6" s="17" t="s">
        <v>796</v>
      </c>
      <c r="C6" s="17" t="s">
        <v>797</v>
      </c>
      <c r="D6" s="17" t="s">
        <v>794</v>
      </c>
      <c r="E6" s="16" t="n">
        <v>1</v>
      </c>
      <c r="F6" s="17" t="s">
        <v>658</v>
      </c>
      <c r="G6" s="16" t="n">
        <v>2</v>
      </c>
      <c r="H6" s="16" t="n">
        <v>2</v>
      </c>
      <c r="I6" s="18" t="s">
        <v>798</v>
      </c>
    </row>
    <row r="7" customFormat="false" ht="15" hidden="false" customHeight="false" outlineLevel="0" collapsed="false">
      <c r="A7" s="16" t="n">
        <v>3</v>
      </c>
      <c r="B7" s="17" t="s">
        <v>799</v>
      </c>
      <c r="C7" s="17" t="s">
        <v>800</v>
      </c>
      <c r="D7" s="17" t="s">
        <v>794</v>
      </c>
      <c r="E7" s="16" t="n">
        <v>1</v>
      </c>
      <c r="F7" s="17" t="s">
        <v>658</v>
      </c>
      <c r="G7" s="16" t="n">
        <v>3</v>
      </c>
      <c r="H7" s="16" t="n">
        <v>3</v>
      </c>
      <c r="I7" s="18" t="s">
        <v>801</v>
      </c>
    </row>
    <row r="8" customFormat="false" ht="15" hidden="false" customHeight="false" outlineLevel="0" collapsed="false">
      <c r="A8" s="16" t="n">
        <v>4</v>
      </c>
      <c r="B8" s="17" t="s">
        <v>802</v>
      </c>
      <c r="C8" s="17" t="s">
        <v>803</v>
      </c>
      <c r="D8" s="17" t="s">
        <v>804</v>
      </c>
      <c r="E8" s="16" t="n">
        <v>5</v>
      </c>
      <c r="F8" s="17" t="s">
        <v>658</v>
      </c>
      <c r="G8" s="16" t="n">
        <v>4</v>
      </c>
      <c r="H8" s="16" t="n">
        <v>2</v>
      </c>
      <c r="I8" s="18" t="s">
        <v>805</v>
      </c>
    </row>
    <row r="9" customFormat="false" ht="15" hidden="false" customHeight="false" outlineLevel="0" collapsed="false">
      <c r="A9" s="16" t="n">
        <v>5</v>
      </c>
      <c r="B9" s="17" t="s">
        <v>806</v>
      </c>
      <c r="C9" s="17" t="s">
        <v>807</v>
      </c>
      <c r="D9" s="17" t="s">
        <v>804</v>
      </c>
      <c r="E9" s="16" t="n">
        <v>5</v>
      </c>
      <c r="F9" s="17" t="s">
        <v>658</v>
      </c>
      <c r="G9" s="16" t="n">
        <v>6</v>
      </c>
      <c r="H9" s="16" t="n">
        <v>3</v>
      </c>
      <c r="I9" s="18" t="s">
        <v>808</v>
      </c>
    </row>
    <row r="10" customFormat="false" ht="15" hidden="false" customHeight="false" outlineLevel="0" collapsed="false">
      <c r="A10" s="16" t="n">
        <v>6</v>
      </c>
      <c r="B10" s="17" t="s">
        <v>809</v>
      </c>
      <c r="C10" s="17" t="s">
        <v>810</v>
      </c>
      <c r="D10" s="17" t="s">
        <v>804</v>
      </c>
      <c r="E10" s="16" t="n">
        <v>5</v>
      </c>
      <c r="F10" s="17" t="s">
        <v>658</v>
      </c>
      <c r="G10" s="16" t="n">
        <v>7</v>
      </c>
      <c r="H10" s="16" t="n">
        <v>3</v>
      </c>
      <c r="I10" s="18" t="s">
        <v>811</v>
      </c>
    </row>
    <row r="11" customFormat="false" ht="15" hidden="false" customHeight="false" outlineLevel="0" collapsed="false">
      <c r="A11" s="16" t="n">
        <v>7</v>
      </c>
      <c r="B11" s="17" t="s">
        <v>812</v>
      </c>
      <c r="C11" s="17" t="s">
        <v>813</v>
      </c>
      <c r="D11" s="17" t="s">
        <v>804</v>
      </c>
      <c r="E11" s="16" t="n">
        <v>5</v>
      </c>
      <c r="F11" s="17" t="s">
        <v>658</v>
      </c>
      <c r="G11" s="16" t="n">
        <v>6</v>
      </c>
      <c r="H11" s="16" t="n">
        <v>3</v>
      </c>
      <c r="I11" s="18" t="s">
        <v>814</v>
      </c>
    </row>
    <row r="12" customFormat="false" ht="15" hidden="false" customHeight="false" outlineLevel="0" collapsed="false">
      <c r="A12" s="19" t="n">
        <v>8</v>
      </c>
      <c r="B12" s="20" t="s">
        <v>815</v>
      </c>
      <c r="C12" s="20" t="s">
        <v>816</v>
      </c>
      <c r="D12" s="20" t="s">
        <v>817</v>
      </c>
      <c r="E12" s="19" t="n">
        <v>2</v>
      </c>
      <c r="F12" s="20" t="s">
        <v>101</v>
      </c>
      <c r="G12" s="19" t="n">
        <v>2</v>
      </c>
      <c r="H12" s="19" t="n">
        <v>3</v>
      </c>
      <c r="I12" s="21" t="s">
        <v>818</v>
      </c>
    </row>
    <row r="13" customFormat="false" ht="15" hidden="false" customHeight="false" outlineLevel="0" collapsed="false">
      <c r="A13" s="19" t="n">
        <v>9</v>
      </c>
      <c r="B13" s="20" t="s">
        <v>819</v>
      </c>
      <c r="C13" s="20" t="s">
        <v>820</v>
      </c>
      <c r="D13" s="20" t="s">
        <v>817</v>
      </c>
      <c r="E13" s="19" t="n">
        <v>2</v>
      </c>
      <c r="F13" s="20" t="s">
        <v>101</v>
      </c>
      <c r="G13" s="19" t="n">
        <v>2</v>
      </c>
      <c r="H13" s="19" t="n">
        <v>2</v>
      </c>
      <c r="I13" s="21" t="s">
        <v>821</v>
      </c>
    </row>
    <row r="14" customFormat="false" ht="15" hidden="false" customHeight="false" outlineLevel="0" collapsed="false">
      <c r="A14" s="19" t="n">
        <v>10</v>
      </c>
      <c r="B14" s="20" t="s">
        <v>822</v>
      </c>
      <c r="C14" s="20" t="s">
        <v>823</v>
      </c>
      <c r="D14" s="20" t="s">
        <v>817</v>
      </c>
      <c r="E14" s="19" t="n">
        <v>2</v>
      </c>
      <c r="F14" s="20" t="s">
        <v>101</v>
      </c>
      <c r="G14" s="19" t="n">
        <v>4</v>
      </c>
      <c r="H14" s="19" t="n">
        <v>2</v>
      </c>
      <c r="I14" s="21" t="s">
        <v>824</v>
      </c>
    </row>
    <row r="15" customFormat="false" ht="15" hidden="false" customHeight="false" outlineLevel="0" collapsed="false">
      <c r="A15" s="19" t="n">
        <v>11</v>
      </c>
      <c r="B15" s="20" t="s">
        <v>825</v>
      </c>
      <c r="C15" s="20" t="s">
        <v>691</v>
      </c>
      <c r="D15" s="20" t="s">
        <v>817</v>
      </c>
      <c r="E15" s="19" t="n">
        <v>2</v>
      </c>
      <c r="F15" s="20" t="s">
        <v>101</v>
      </c>
      <c r="G15" s="19" t="n">
        <v>3</v>
      </c>
      <c r="H15" s="19" t="n">
        <v>3</v>
      </c>
      <c r="I15" s="21" t="s">
        <v>826</v>
      </c>
    </row>
    <row r="16" customFormat="false" ht="15" hidden="false" customHeight="false" outlineLevel="0" collapsed="false">
      <c r="A16" s="19" t="n">
        <v>12</v>
      </c>
      <c r="B16" s="20" t="s">
        <v>827</v>
      </c>
      <c r="C16" s="20" t="s">
        <v>828</v>
      </c>
      <c r="D16" s="20" t="s">
        <v>817</v>
      </c>
      <c r="E16" s="19" t="n">
        <v>2</v>
      </c>
      <c r="F16" s="20" t="s">
        <v>65</v>
      </c>
      <c r="G16" s="19" t="n">
        <v>2</v>
      </c>
      <c r="H16" s="19" t="n">
        <v>2</v>
      </c>
      <c r="I16" s="21" t="s">
        <v>829</v>
      </c>
    </row>
    <row r="17" customFormat="false" ht="15" hidden="false" customHeight="false" outlineLevel="0" collapsed="false">
      <c r="A17" s="19" t="n">
        <v>13</v>
      </c>
      <c r="B17" s="20" t="s">
        <v>830</v>
      </c>
      <c r="C17" s="20" t="s">
        <v>766</v>
      </c>
      <c r="D17" s="20" t="s">
        <v>817</v>
      </c>
      <c r="E17" s="19" t="n">
        <v>2</v>
      </c>
      <c r="F17" s="20" t="s">
        <v>65</v>
      </c>
      <c r="G17" s="19" t="n">
        <v>3</v>
      </c>
      <c r="H17" s="19" t="n">
        <v>3</v>
      </c>
      <c r="I17" s="21" t="s">
        <v>831</v>
      </c>
    </row>
    <row r="18" customFormat="false" ht="15" hidden="false" customHeight="false" outlineLevel="0" collapsed="false">
      <c r="A18" s="19" t="n">
        <v>14</v>
      </c>
      <c r="B18" s="20" t="s">
        <v>832</v>
      </c>
      <c r="C18" s="20" t="s">
        <v>833</v>
      </c>
      <c r="D18" s="20" t="s">
        <v>817</v>
      </c>
      <c r="E18" s="19" t="n">
        <v>2</v>
      </c>
      <c r="F18" s="20" t="s">
        <v>65</v>
      </c>
      <c r="G18" s="19" t="n">
        <v>4</v>
      </c>
      <c r="H18" s="19" t="n">
        <v>2</v>
      </c>
      <c r="I18" s="21" t="s">
        <v>834</v>
      </c>
    </row>
    <row r="19" customFormat="false" ht="15" hidden="false" customHeight="false" outlineLevel="0" collapsed="false">
      <c r="A19" s="19" t="n">
        <v>15</v>
      </c>
      <c r="B19" s="20" t="s">
        <v>835</v>
      </c>
      <c r="C19" s="20" t="s">
        <v>836</v>
      </c>
      <c r="D19" s="20" t="s">
        <v>817</v>
      </c>
      <c r="E19" s="19" t="n">
        <v>2</v>
      </c>
      <c r="F19" s="20" t="s">
        <v>123</v>
      </c>
      <c r="G19" s="19" t="n">
        <v>2</v>
      </c>
      <c r="H19" s="19" t="n">
        <v>2</v>
      </c>
      <c r="I19" s="21" t="s">
        <v>837</v>
      </c>
    </row>
    <row r="20" customFormat="false" ht="15" hidden="false" customHeight="false" outlineLevel="0" collapsed="false">
      <c r="A20" s="19" t="n">
        <v>16</v>
      </c>
      <c r="B20" s="20" t="s">
        <v>838</v>
      </c>
      <c r="C20" s="20" t="s">
        <v>839</v>
      </c>
      <c r="D20" s="20" t="s">
        <v>817</v>
      </c>
      <c r="E20" s="19" t="n">
        <v>2</v>
      </c>
      <c r="F20" s="20" t="s">
        <v>123</v>
      </c>
      <c r="G20" s="19" t="n">
        <v>2</v>
      </c>
      <c r="H20" s="19" t="n">
        <v>3</v>
      </c>
      <c r="I20" s="21" t="s">
        <v>840</v>
      </c>
    </row>
    <row r="21" customFormat="false" ht="15" hidden="false" customHeight="false" outlineLevel="0" collapsed="false">
      <c r="A21" s="19" t="n">
        <v>17</v>
      </c>
      <c r="B21" s="20" t="s">
        <v>841</v>
      </c>
      <c r="C21" s="20" t="s">
        <v>842</v>
      </c>
      <c r="D21" s="20" t="s">
        <v>817</v>
      </c>
      <c r="E21" s="19" t="n">
        <v>2</v>
      </c>
      <c r="F21" s="20" t="s">
        <v>123</v>
      </c>
      <c r="G21" s="19" t="n">
        <v>4</v>
      </c>
      <c r="H21" s="19" t="n">
        <v>2</v>
      </c>
      <c r="I21" s="21" t="s">
        <v>843</v>
      </c>
    </row>
    <row r="22" customFormat="false" ht="15" hidden="false" customHeight="false" outlineLevel="0" collapsed="false">
      <c r="A22" s="19" t="n">
        <v>18</v>
      </c>
      <c r="B22" s="20" t="s">
        <v>844</v>
      </c>
      <c r="C22" s="20" t="s">
        <v>845</v>
      </c>
      <c r="D22" s="20" t="s">
        <v>817</v>
      </c>
      <c r="E22" s="19" t="n">
        <v>2</v>
      </c>
      <c r="F22" s="20" t="s">
        <v>202</v>
      </c>
      <c r="G22" s="19" t="n">
        <v>2</v>
      </c>
      <c r="H22" s="19" t="n">
        <v>2</v>
      </c>
      <c r="I22" s="21" t="s">
        <v>846</v>
      </c>
    </row>
    <row r="23" customFormat="false" ht="15" hidden="false" customHeight="false" outlineLevel="0" collapsed="false">
      <c r="A23" s="19" t="n">
        <v>19</v>
      </c>
      <c r="B23" s="20" t="s">
        <v>847</v>
      </c>
      <c r="C23" s="20" t="s">
        <v>848</v>
      </c>
      <c r="D23" s="20" t="s">
        <v>817</v>
      </c>
      <c r="E23" s="19" t="n">
        <v>2</v>
      </c>
      <c r="F23" s="20" t="s">
        <v>202</v>
      </c>
      <c r="G23" s="19" t="n">
        <v>3</v>
      </c>
      <c r="H23" s="19" t="n">
        <v>3</v>
      </c>
      <c r="I23" s="21" t="s">
        <v>849</v>
      </c>
    </row>
    <row r="24" customFormat="false" ht="15" hidden="false" customHeight="false" outlineLevel="0" collapsed="false">
      <c r="A24" s="19" t="n">
        <v>20</v>
      </c>
      <c r="B24" s="20" t="s">
        <v>850</v>
      </c>
      <c r="C24" s="20" t="s">
        <v>851</v>
      </c>
      <c r="D24" s="20" t="s">
        <v>817</v>
      </c>
      <c r="E24" s="19" t="n">
        <v>2</v>
      </c>
      <c r="F24" s="20" t="s">
        <v>202</v>
      </c>
      <c r="G24" s="19" t="n">
        <v>4</v>
      </c>
      <c r="H24" s="19" t="n">
        <v>3</v>
      </c>
      <c r="I24" s="21" t="s">
        <v>852</v>
      </c>
    </row>
    <row r="25" customFormat="false" ht="15" hidden="false" customHeight="false" outlineLevel="0" collapsed="false">
      <c r="A25" s="19" t="n">
        <v>21</v>
      </c>
      <c r="B25" s="20" t="s">
        <v>853</v>
      </c>
      <c r="C25" s="20" t="s">
        <v>854</v>
      </c>
      <c r="D25" s="20" t="s">
        <v>817</v>
      </c>
      <c r="E25" s="19" t="n">
        <v>2</v>
      </c>
      <c r="F25" s="20" t="s">
        <v>459</v>
      </c>
      <c r="G25" s="19" t="n">
        <v>2</v>
      </c>
      <c r="H25" s="19" t="n">
        <v>2</v>
      </c>
      <c r="I25" s="21" t="s">
        <v>855</v>
      </c>
    </row>
    <row r="26" customFormat="false" ht="15" hidden="false" customHeight="false" outlineLevel="0" collapsed="false">
      <c r="A26" s="19" t="n">
        <v>22</v>
      </c>
      <c r="B26" s="20" t="s">
        <v>856</v>
      </c>
      <c r="C26" s="20" t="s">
        <v>857</v>
      </c>
      <c r="D26" s="20" t="s">
        <v>817</v>
      </c>
      <c r="E26" s="19" t="n">
        <v>2</v>
      </c>
      <c r="F26" s="20" t="s">
        <v>459</v>
      </c>
      <c r="G26" s="19" t="n">
        <v>3</v>
      </c>
      <c r="H26" s="19" t="n">
        <v>2</v>
      </c>
      <c r="I26" s="21" t="s">
        <v>858</v>
      </c>
    </row>
    <row r="27" customFormat="false" ht="15" hidden="false" customHeight="false" outlineLevel="0" collapsed="false">
      <c r="A27" s="19" t="n">
        <v>23</v>
      </c>
      <c r="B27" s="20" t="s">
        <v>859</v>
      </c>
      <c r="C27" s="20" t="s">
        <v>860</v>
      </c>
      <c r="D27" s="20" t="s">
        <v>817</v>
      </c>
      <c r="E27" s="19" t="n">
        <v>2</v>
      </c>
      <c r="F27" s="20" t="s">
        <v>459</v>
      </c>
      <c r="G27" s="19" t="n">
        <v>4</v>
      </c>
      <c r="H27" s="19" t="n">
        <v>2</v>
      </c>
      <c r="I27" s="21" t="s">
        <v>861</v>
      </c>
    </row>
    <row r="28" customFormat="false" ht="15" hidden="false" customHeight="false" outlineLevel="0" collapsed="false">
      <c r="A28" s="19" t="n">
        <v>24</v>
      </c>
      <c r="B28" s="20" t="s">
        <v>862</v>
      </c>
      <c r="C28" s="20" t="s">
        <v>773</v>
      </c>
      <c r="D28" s="20" t="s">
        <v>863</v>
      </c>
      <c r="E28" s="19" t="n">
        <v>4</v>
      </c>
      <c r="F28" s="20" t="s">
        <v>142</v>
      </c>
      <c r="G28" s="19" t="n">
        <v>2</v>
      </c>
      <c r="H28" s="19" t="n">
        <v>3</v>
      </c>
      <c r="I28" s="21" t="s">
        <v>864</v>
      </c>
    </row>
    <row r="29" customFormat="false" ht="15" hidden="false" customHeight="false" outlineLevel="0" collapsed="false">
      <c r="A29" s="19" t="n">
        <v>25</v>
      </c>
      <c r="B29" s="20" t="s">
        <v>865</v>
      </c>
      <c r="C29" s="20" t="s">
        <v>866</v>
      </c>
      <c r="D29" s="20" t="s">
        <v>863</v>
      </c>
      <c r="E29" s="19" t="n">
        <v>4</v>
      </c>
      <c r="F29" s="20" t="s">
        <v>142</v>
      </c>
      <c r="G29" s="19" t="n">
        <v>2</v>
      </c>
      <c r="H29" s="19" t="n">
        <v>3</v>
      </c>
      <c r="I29" s="21" t="s">
        <v>867</v>
      </c>
    </row>
    <row r="30" customFormat="false" ht="15" hidden="false" customHeight="false" outlineLevel="0" collapsed="false">
      <c r="A30" s="19" t="n">
        <v>26</v>
      </c>
      <c r="B30" s="20" t="s">
        <v>868</v>
      </c>
      <c r="C30" s="20" t="s">
        <v>869</v>
      </c>
      <c r="D30" s="20" t="s">
        <v>863</v>
      </c>
      <c r="E30" s="19" t="n">
        <v>4</v>
      </c>
      <c r="F30" s="20" t="s">
        <v>142</v>
      </c>
      <c r="G30" s="19" t="n">
        <v>3</v>
      </c>
      <c r="H30" s="19" t="n">
        <v>3</v>
      </c>
      <c r="I30" s="21" t="s">
        <v>870</v>
      </c>
    </row>
    <row r="31" customFormat="false" ht="15" hidden="false" customHeight="false" outlineLevel="0" collapsed="false">
      <c r="A31" s="19" t="n">
        <v>27</v>
      </c>
      <c r="B31" s="20" t="s">
        <v>871</v>
      </c>
      <c r="C31" s="20" t="s">
        <v>872</v>
      </c>
      <c r="D31" s="20" t="s">
        <v>863</v>
      </c>
      <c r="E31" s="19" t="n">
        <v>4</v>
      </c>
      <c r="F31" s="20" t="s">
        <v>142</v>
      </c>
      <c r="G31" s="19" t="n">
        <v>4</v>
      </c>
      <c r="H31" s="19" t="n">
        <v>2</v>
      </c>
      <c r="I31" s="21" t="s">
        <v>873</v>
      </c>
    </row>
    <row r="32" customFormat="false" ht="15" hidden="false" customHeight="false" outlineLevel="0" collapsed="false">
      <c r="A32" s="19" t="n">
        <v>28</v>
      </c>
      <c r="B32" s="20" t="s">
        <v>874</v>
      </c>
      <c r="C32" s="20" t="s">
        <v>875</v>
      </c>
      <c r="D32" s="20" t="s">
        <v>863</v>
      </c>
      <c r="E32" s="19" t="n">
        <v>4</v>
      </c>
      <c r="F32" s="20" t="s">
        <v>142</v>
      </c>
      <c r="G32" s="19" t="n">
        <v>4</v>
      </c>
      <c r="H32" s="19" t="n">
        <v>2</v>
      </c>
      <c r="I32" s="21" t="s">
        <v>876</v>
      </c>
    </row>
    <row r="33" customFormat="false" ht="15" hidden="false" customHeight="false" outlineLevel="0" collapsed="false">
      <c r="A33" s="19" t="n">
        <v>29</v>
      </c>
      <c r="B33" s="20" t="s">
        <v>877</v>
      </c>
      <c r="C33" s="20" t="s">
        <v>878</v>
      </c>
      <c r="D33" s="20" t="s">
        <v>863</v>
      </c>
      <c r="E33" s="19" t="n">
        <v>4</v>
      </c>
      <c r="F33" s="20" t="s">
        <v>142</v>
      </c>
      <c r="G33" s="19" t="n">
        <v>5</v>
      </c>
      <c r="H33" s="19" t="n">
        <v>2</v>
      </c>
      <c r="I33" s="21" t="s">
        <v>879</v>
      </c>
    </row>
    <row r="34" customFormat="false" ht="15" hidden="false" customHeight="false" outlineLevel="0" collapsed="false">
      <c r="A34" s="19" t="n">
        <v>30</v>
      </c>
      <c r="B34" s="20" t="s">
        <v>880</v>
      </c>
      <c r="C34" s="20" t="s">
        <v>881</v>
      </c>
      <c r="D34" s="20" t="s">
        <v>882</v>
      </c>
      <c r="E34" s="19" t="n">
        <v>3</v>
      </c>
      <c r="F34" s="20" t="s">
        <v>264</v>
      </c>
      <c r="G34" s="19" t="n">
        <v>2</v>
      </c>
      <c r="H34" s="19" t="n">
        <v>2</v>
      </c>
      <c r="I34" s="21" t="s">
        <v>883</v>
      </c>
    </row>
    <row r="35" customFormat="false" ht="15" hidden="false" customHeight="false" outlineLevel="0" collapsed="false">
      <c r="A35" s="19" t="n">
        <v>31</v>
      </c>
      <c r="B35" s="20" t="s">
        <v>884</v>
      </c>
      <c r="C35" s="20" t="s">
        <v>885</v>
      </c>
      <c r="D35" s="20" t="s">
        <v>882</v>
      </c>
      <c r="E35" s="19" t="n">
        <v>3</v>
      </c>
      <c r="F35" s="20" t="s">
        <v>264</v>
      </c>
      <c r="G35" s="19" t="n">
        <v>2</v>
      </c>
      <c r="H35" s="19" t="n">
        <v>2</v>
      </c>
      <c r="I35" s="21" t="s">
        <v>886</v>
      </c>
    </row>
    <row r="36" customFormat="false" ht="15" hidden="false" customHeight="false" outlineLevel="0" collapsed="false">
      <c r="A36" s="19" t="n">
        <v>32</v>
      </c>
      <c r="B36" s="20" t="s">
        <v>887</v>
      </c>
      <c r="C36" s="20" t="s">
        <v>888</v>
      </c>
      <c r="D36" s="20" t="s">
        <v>882</v>
      </c>
      <c r="E36" s="19" t="n">
        <v>3</v>
      </c>
      <c r="F36" s="20" t="s">
        <v>264</v>
      </c>
      <c r="G36" s="19" t="n">
        <v>3</v>
      </c>
      <c r="H36" s="19" t="n">
        <v>3</v>
      </c>
      <c r="I36" s="21" t="s">
        <v>889</v>
      </c>
    </row>
    <row r="37" customFormat="false" ht="15" hidden="false" customHeight="false" outlineLevel="0" collapsed="false">
      <c r="A37" s="19" t="n">
        <v>33</v>
      </c>
      <c r="B37" s="20" t="s">
        <v>890</v>
      </c>
      <c r="C37" s="20" t="s">
        <v>891</v>
      </c>
      <c r="D37" s="20" t="s">
        <v>882</v>
      </c>
      <c r="E37" s="19" t="n">
        <v>3</v>
      </c>
      <c r="F37" s="20" t="s">
        <v>264</v>
      </c>
      <c r="G37" s="19" t="n">
        <v>4</v>
      </c>
      <c r="H37" s="19" t="n">
        <v>2</v>
      </c>
      <c r="I37" s="21" t="s">
        <v>892</v>
      </c>
    </row>
    <row r="38" customFormat="false" ht="15" hidden="false" customHeight="false" outlineLevel="0" collapsed="false">
      <c r="A38" s="19" t="n">
        <v>34</v>
      </c>
      <c r="B38" s="20" t="s">
        <v>893</v>
      </c>
      <c r="C38" s="20" t="s">
        <v>894</v>
      </c>
      <c r="D38" s="20" t="s">
        <v>882</v>
      </c>
      <c r="E38" s="19" t="n">
        <v>3</v>
      </c>
      <c r="F38" s="20" t="s">
        <v>215</v>
      </c>
      <c r="G38" s="19" t="n">
        <v>3</v>
      </c>
      <c r="H38" s="19" t="n">
        <v>2</v>
      </c>
      <c r="I38" s="21" t="s">
        <v>895</v>
      </c>
    </row>
    <row r="39" customFormat="false" ht="15" hidden="false" customHeight="false" outlineLevel="0" collapsed="false">
      <c r="A39" s="19" t="n">
        <v>35</v>
      </c>
      <c r="B39" s="20" t="s">
        <v>896</v>
      </c>
      <c r="C39" s="20" t="s">
        <v>897</v>
      </c>
      <c r="D39" s="20" t="s">
        <v>882</v>
      </c>
      <c r="E39" s="19" t="n">
        <v>3</v>
      </c>
      <c r="F39" s="20" t="s">
        <v>215</v>
      </c>
      <c r="G39" s="19" t="n">
        <v>2</v>
      </c>
      <c r="H39" s="19" t="n">
        <v>3</v>
      </c>
      <c r="I39" s="21" t="s">
        <v>898</v>
      </c>
    </row>
    <row r="40" customFormat="false" ht="15" hidden="false" customHeight="false" outlineLevel="0" collapsed="false">
      <c r="A40" s="19" t="n">
        <v>36</v>
      </c>
      <c r="B40" s="20" t="s">
        <v>899</v>
      </c>
      <c r="C40" s="20" t="s">
        <v>900</v>
      </c>
      <c r="D40" s="20" t="s">
        <v>882</v>
      </c>
      <c r="E40" s="19" t="n">
        <v>3</v>
      </c>
      <c r="F40" s="20" t="s">
        <v>224</v>
      </c>
      <c r="G40" s="19" t="n">
        <v>3</v>
      </c>
      <c r="H40" s="19" t="n">
        <v>2</v>
      </c>
      <c r="I40" s="21" t="s">
        <v>901</v>
      </c>
    </row>
    <row r="41" customFormat="false" ht="15" hidden="false" customHeight="false" outlineLevel="0" collapsed="false">
      <c r="A41" s="19" t="n">
        <v>37</v>
      </c>
      <c r="B41" s="20" t="s">
        <v>902</v>
      </c>
      <c r="C41" s="20" t="s">
        <v>903</v>
      </c>
      <c r="D41" s="20" t="s">
        <v>882</v>
      </c>
      <c r="E41" s="19" t="n">
        <v>3</v>
      </c>
      <c r="F41" s="20" t="s">
        <v>364</v>
      </c>
      <c r="G41" s="19" t="n">
        <v>4</v>
      </c>
      <c r="H41" s="19" t="n">
        <v>2</v>
      </c>
      <c r="I41" s="21" t="s">
        <v>904</v>
      </c>
    </row>
    <row r="42" customFormat="false" ht="15" hidden="false" customHeight="false" outlineLevel="0" collapsed="false">
      <c r="A42" s="19" t="n">
        <v>38</v>
      </c>
      <c r="B42" s="20" t="s">
        <v>905</v>
      </c>
      <c r="C42" s="20" t="s">
        <v>906</v>
      </c>
      <c r="D42" s="20" t="s">
        <v>882</v>
      </c>
      <c r="E42" s="19" t="n">
        <v>3</v>
      </c>
      <c r="F42" s="20" t="s">
        <v>554</v>
      </c>
      <c r="G42" s="19" t="n">
        <v>3</v>
      </c>
      <c r="H42" s="19" t="n">
        <v>2</v>
      </c>
      <c r="I42" s="21" t="s">
        <v>907</v>
      </c>
    </row>
    <row r="43" customFormat="false" ht="15" hidden="false" customHeight="false" outlineLevel="0" collapsed="false">
      <c r="A43" s="19" t="n">
        <v>39</v>
      </c>
      <c r="B43" s="20" t="s">
        <v>908</v>
      </c>
      <c r="C43" s="20" t="s">
        <v>909</v>
      </c>
      <c r="D43" s="20" t="s">
        <v>882</v>
      </c>
      <c r="E43" s="19" t="n">
        <v>3</v>
      </c>
      <c r="F43" s="20" t="s">
        <v>554</v>
      </c>
      <c r="G43" s="19" t="n">
        <v>3</v>
      </c>
      <c r="H43" s="19" t="n">
        <v>2</v>
      </c>
      <c r="I43" s="21" t="s">
        <v>910</v>
      </c>
    </row>
    <row r="44" customFormat="false" ht="15" hidden="false" customHeight="false" outlineLevel="0" collapsed="false">
      <c r="A44" s="19" t="n">
        <v>40</v>
      </c>
      <c r="B44" s="20" t="s">
        <v>911</v>
      </c>
      <c r="C44" s="20" t="s">
        <v>912</v>
      </c>
      <c r="D44" s="20" t="s">
        <v>882</v>
      </c>
      <c r="E44" s="19" t="n">
        <v>3</v>
      </c>
      <c r="F44" s="20" t="s">
        <v>410</v>
      </c>
      <c r="G44" s="19" t="n">
        <v>3</v>
      </c>
      <c r="H44" s="19" t="n">
        <v>2</v>
      </c>
      <c r="I44" s="21" t="s">
        <v>913</v>
      </c>
    </row>
    <row r="45" customFormat="false" ht="15" hidden="false" customHeight="false" outlineLevel="0" collapsed="false">
      <c r="A45" s="19" t="n">
        <v>41</v>
      </c>
      <c r="B45" s="20" t="s">
        <v>914</v>
      </c>
      <c r="C45" s="20" t="s">
        <v>915</v>
      </c>
      <c r="D45" s="20" t="s">
        <v>882</v>
      </c>
      <c r="E45" s="19" t="n">
        <v>3</v>
      </c>
      <c r="F45" s="20" t="s">
        <v>410</v>
      </c>
      <c r="G45" s="19" t="n">
        <v>4</v>
      </c>
      <c r="H45" s="19" t="n">
        <v>2</v>
      </c>
      <c r="I45" s="21" t="s">
        <v>916</v>
      </c>
    </row>
    <row r="46" customFormat="false" ht="15" hidden="false" customHeight="false" outlineLevel="0" collapsed="false">
      <c r="A46" s="19" t="n">
        <v>42</v>
      </c>
      <c r="B46" s="20" t="s">
        <v>917</v>
      </c>
      <c r="C46" s="20" t="s">
        <v>918</v>
      </c>
      <c r="D46" s="20" t="s">
        <v>804</v>
      </c>
      <c r="E46" s="19" t="n">
        <v>5</v>
      </c>
      <c r="F46" s="20" t="s">
        <v>118</v>
      </c>
      <c r="G46" s="19" t="n">
        <v>3</v>
      </c>
      <c r="H46" s="19" t="n">
        <v>3</v>
      </c>
      <c r="I46" s="21" t="s">
        <v>919</v>
      </c>
    </row>
    <row r="47" customFormat="false" ht="15" hidden="false" customHeight="false" outlineLevel="0" collapsed="false">
      <c r="A47" s="19" t="n">
        <v>43</v>
      </c>
      <c r="B47" s="20" t="s">
        <v>920</v>
      </c>
      <c r="C47" s="20" t="s">
        <v>921</v>
      </c>
      <c r="D47" s="20" t="s">
        <v>804</v>
      </c>
      <c r="E47" s="19" t="n">
        <v>5</v>
      </c>
      <c r="F47" s="20" t="s">
        <v>118</v>
      </c>
      <c r="G47" s="19" t="n">
        <v>4</v>
      </c>
      <c r="H47" s="19" t="n">
        <v>2</v>
      </c>
      <c r="I47" s="21" t="s">
        <v>922</v>
      </c>
    </row>
  </sheetData>
  <autoFilter ref="A4:I47"/>
  <dataValidations count="1">
    <dataValidation allowBlank="true" errorStyle="stop" operator="between" showDropDown="false" showErrorMessage="false" showInputMessage="false" sqref="F5:F47" type="list">
      <formula1>"Always,Chest,Back,Shoulders,Traps,Biceps,Triceps,Forearms,Quads,Hamstrings,Glutes,Adductors,Calves,Core,Full body"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7"/>
    <col collapsed="false" customWidth="true" hidden="false" outlineLevel="0" max="3" min="3" style="0" width="19"/>
    <col collapsed="false" customWidth="true" hidden="false" outlineLevel="0" max="4" min="4" style="0" width="8"/>
    <col collapsed="false" customWidth="true" hidden="false" outlineLevel="0" max="5" min="5" style="0" width="19"/>
    <col collapsed="false" customWidth="true" hidden="false" outlineLevel="0" max="6" min="6" style="0" width="21"/>
    <col collapsed="false" customWidth="true" hidden="false" outlineLevel="0" max="8" min="7" style="0" width="10"/>
    <col collapsed="false" customWidth="true" hidden="false" outlineLevel="0" max="9" min="9" style="0" width="11"/>
    <col collapsed="false" customWidth="true" hidden="false" outlineLevel="0" max="10" min="10" style="0" width="52"/>
    <col collapsed="false" customWidth="true" hidden="false" outlineLevel="0" max="11" min="11" style="0" width="11"/>
    <col collapsed="false" customWidth="true" hidden="false" outlineLevel="0" max="12" min="12" style="0" width="15"/>
    <col collapsed="false" customWidth="true" hidden="false" outlineLevel="0" max="13" min="13" style="0" width="13"/>
  </cols>
  <sheetData>
    <row r="1" customFormat="false" ht="24" hidden="false" customHeight="true" outlineLevel="0" collapsed="false">
      <c r="A1" s="1" t="s">
        <v>923</v>
      </c>
      <c r="B1" s="2"/>
      <c r="C1" s="2"/>
      <c r="D1" s="2"/>
      <c r="E1" s="2"/>
      <c r="F1" s="2"/>
      <c r="G1" s="2"/>
      <c r="H1" s="2"/>
      <c r="I1" s="2"/>
      <c r="J1" s="2"/>
      <c r="K1" s="2"/>
      <c r="L1" s="2"/>
      <c r="M1" s="2"/>
    </row>
    <row r="2" customFormat="false" ht="15" hidden="false" customHeight="false" outlineLevel="0" collapsed="false">
      <c r="A2" s="8" t="s">
        <v>924</v>
      </c>
      <c r="B2" s="2"/>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31.5" hidden="false" customHeight="true" outlineLevel="0" collapsed="false">
      <c r="A4" s="9" t="s">
        <v>925</v>
      </c>
      <c r="B4" s="9" t="s">
        <v>58</v>
      </c>
      <c r="C4" s="9" t="s">
        <v>926</v>
      </c>
      <c r="D4" s="9" t="s">
        <v>927</v>
      </c>
      <c r="E4" s="9" t="s">
        <v>928</v>
      </c>
      <c r="F4" s="9" t="s">
        <v>929</v>
      </c>
      <c r="G4" s="9" t="s">
        <v>930</v>
      </c>
      <c r="H4" s="9" t="s">
        <v>931</v>
      </c>
      <c r="I4" s="9" t="s">
        <v>932</v>
      </c>
      <c r="J4" s="9" t="s">
        <v>933</v>
      </c>
      <c r="K4" s="9" t="s">
        <v>934</v>
      </c>
      <c r="L4" s="9" t="s">
        <v>935</v>
      </c>
      <c r="M4" s="9" t="s">
        <v>936</v>
      </c>
    </row>
    <row r="5" customFormat="false" ht="15" hidden="false" customHeight="false" outlineLevel="0" collapsed="false">
      <c r="A5" s="22" t="str">
        <f aca="false">B5&amp;"|"&amp;C5</f>
        <v>Heavy compound|Explosivity</v>
      </c>
      <c r="B5" s="17" t="s">
        <v>67</v>
      </c>
      <c r="C5" s="17" t="s">
        <v>937</v>
      </c>
      <c r="D5" s="16" t="s">
        <v>938</v>
      </c>
      <c r="E5" s="16" t="s">
        <v>939</v>
      </c>
      <c r="F5" s="17" t="s">
        <v>940</v>
      </c>
      <c r="G5" s="23" t="n">
        <v>0.5</v>
      </c>
      <c r="H5" s="23" t="n">
        <v>0.7</v>
      </c>
      <c r="I5" s="17" t="s">
        <v>941</v>
      </c>
      <c r="J5" s="18" t="s">
        <v>942</v>
      </c>
      <c r="K5" s="24" t="n">
        <v>5</v>
      </c>
      <c r="L5" s="16" t="n">
        <v>12</v>
      </c>
      <c r="M5" s="16" t="n">
        <v>150</v>
      </c>
    </row>
    <row r="6" customFormat="false" ht="15" hidden="false" customHeight="false" outlineLevel="0" collapsed="false">
      <c r="A6" s="22" t="str">
        <f aca="false">B6&amp;"|"&amp;C6</f>
        <v>Heavy compound|Strength</v>
      </c>
      <c r="B6" s="20" t="s">
        <v>67</v>
      </c>
      <c r="C6" s="20" t="s">
        <v>943</v>
      </c>
      <c r="D6" s="19" t="s">
        <v>944</v>
      </c>
      <c r="E6" s="19" t="s">
        <v>945</v>
      </c>
      <c r="F6" s="20" t="s">
        <v>946</v>
      </c>
      <c r="G6" s="25" t="n">
        <v>0.8</v>
      </c>
      <c r="H6" s="25" t="n">
        <v>0.9</v>
      </c>
      <c r="I6" s="20" t="s">
        <v>947</v>
      </c>
      <c r="J6" s="21" t="s">
        <v>948</v>
      </c>
      <c r="K6" s="26" t="n">
        <v>4</v>
      </c>
      <c r="L6" s="19" t="n">
        <v>20</v>
      </c>
      <c r="M6" s="19" t="n">
        <v>240</v>
      </c>
    </row>
    <row r="7" customFormat="false" ht="15" hidden="false" customHeight="false" outlineLevel="0" collapsed="false">
      <c r="A7" s="22" t="str">
        <f aca="false">B7&amp;"|"&amp;C7</f>
        <v>Heavy compound|Muscular endurance</v>
      </c>
      <c r="B7" s="20" t="s">
        <v>67</v>
      </c>
      <c r="C7" s="20" t="s">
        <v>949</v>
      </c>
      <c r="D7" s="19" t="s">
        <v>950</v>
      </c>
      <c r="E7" s="19" t="s">
        <v>951</v>
      </c>
      <c r="F7" s="20" t="s">
        <v>952</v>
      </c>
      <c r="G7" s="25" t="n">
        <v>0.5</v>
      </c>
      <c r="H7" s="25" t="n">
        <v>0.65</v>
      </c>
      <c r="I7" s="20" t="s">
        <v>953</v>
      </c>
      <c r="J7" s="21" t="s">
        <v>954</v>
      </c>
      <c r="K7" s="26" t="n">
        <v>3</v>
      </c>
      <c r="L7" s="19" t="n">
        <v>50</v>
      </c>
      <c r="M7" s="19" t="n">
        <v>68</v>
      </c>
    </row>
    <row r="8" customFormat="false" ht="15" hidden="false" customHeight="false" outlineLevel="0" collapsed="false">
      <c r="A8" s="22" t="str">
        <f aca="false">B8&amp;"|"&amp;C8</f>
        <v>Compound|Explosivity</v>
      </c>
      <c r="B8" s="17" t="s">
        <v>84</v>
      </c>
      <c r="C8" s="17" t="s">
        <v>937</v>
      </c>
      <c r="D8" s="16" t="s">
        <v>955</v>
      </c>
      <c r="E8" s="16" t="s">
        <v>944</v>
      </c>
      <c r="F8" s="17" t="s">
        <v>956</v>
      </c>
      <c r="G8" s="23" t="n">
        <v>0.4</v>
      </c>
      <c r="H8" s="23" t="n">
        <v>0.6</v>
      </c>
      <c r="I8" s="17" t="s">
        <v>941</v>
      </c>
      <c r="J8" s="18" t="s">
        <v>957</v>
      </c>
      <c r="K8" s="24" t="n">
        <v>4.5</v>
      </c>
      <c r="L8" s="16" t="n">
        <v>15</v>
      </c>
      <c r="M8" s="16" t="n">
        <v>150</v>
      </c>
    </row>
    <row r="9" customFormat="false" ht="15" hidden="false" customHeight="false" outlineLevel="0" collapsed="false">
      <c r="A9" s="22" t="str">
        <f aca="false">B9&amp;"|"&amp;C9</f>
        <v>Compound|Strength</v>
      </c>
      <c r="B9" s="20" t="s">
        <v>84</v>
      </c>
      <c r="C9" s="20" t="s">
        <v>943</v>
      </c>
      <c r="D9" s="19" t="s">
        <v>958</v>
      </c>
      <c r="E9" s="19" t="s">
        <v>959</v>
      </c>
      <c r="F9" s="20" t="s">
        <v>960</v>
      </c>
      <c r="G9" s="25" t="n">
        <v>0.75</v>
      </c>
      <c r="H9" s="25" t="n">
        <v>0.85</v>
      </c>
      <c r="I9" s="20" t="s">
        <v>941</v>
      </c>
      <c r="J9" s="21" t="s">
        <v>961</v>
      </c>
      <c r="K9" s="26" t="n">
        <v>3.5</v>
      </c>
      <c r="L9" s="19" t="n">
        <v>25</v>
      </c>
      <c r="M9" s="19" t="n">
        <v>150</v>
      </c>
    </row>
    <row r="10" customFormat="false" ht="15" hidden="false" customHeight="false" outlineLevel="0" collapsed="false">
      <c r="A10" s="22" t="str">
        <f aca="false">B10&amp;"|"&amp;C10</f>
        <v>Compound|Muscular endurance</v>
      </c>
      <c r="B10" s="20" t="s">
        <v>84</v>
      </c>
      <c r="C10" s="20" t="s">
        <v>949</v>
      </c>
      <c r="D10" s="19" t="s">
        <v>950</v>
      </c>
      <c r="E10" s="19" t="s">
        <v>951</v>
      </c>
      <c r="F10" s="20" t="s">
        <v>962</v>
      </c>
      <c r="G10" s="25" t="n">
        <v>0.5</v>
      </c>
      <c r="H10" s="25" t="n">
        <v>0.6</v>
      </c>
      <c r="I10" s="20" t="s">
        <v>963</v>
      </c>
      <c r="J10" s="21" t="s">
        <v>964</v>
      </c>
      <c r="K10" s="26" t="n">
        <v>3</v>
      </c>
      <c r="L10" s="19" t="n">
        <v>50</v>
      </c>
      <c r="M10" s="19" t="n">
        <v>60</v>
      </c>
    </row>
    <row r="11" customFormat="false" ht="15" hidden="false" customHeight="false" outlineLevel="0" collapsed="false">
      <c r="A11" s="22" t="str">
        <f aca="false">B11&amp;"|"&amp;C11</f>
        <v>Isolation|Explosivity</v>
      </c>
      <c r="B11" s="17" t="s">
        <v>174</v>
      </c>
      <c r="C11" s="17" t="s">
        <v>937</v>
      </c>
      <c r="D11" s="16" t="s">
        <v>965</v>
      </c>
      <c r="E11" s="16" t="s">
        <v>965</v>
      </c>
      <c r="F11" s="17" t="s">
        <v>966</v>
      </c>
      <c r="G11" s="23" t="n">
        <v>0</v>
      </c>
      <c r="H11" s="23" t="n">
        <v>0</v>
      </c>
      <c r="I11" s="17" t="s">
        <v>965</v>
      </c>
      <c r="J11" s="18" t="s">
        <v>967</v>
      </c>
      <c r="K11" s="24" t="n">
        <v>0</v>
      </c>
      <c r="L11" s="16" t="n">
        <v>0</v>
      </c>
      <c r="M11" s="16" t="n">
        <v>0</v>
      </c>
    </row>
    <row r="12" customFormat="false" ht="15" hidden="false" customHeight="false" outlineLevel="0" collapsed="false">
      <c r="A12" s="22" t="str">
        <f aca="false">B12&amp;"|"&amp;C12</f>
        <v>Isolation|Strength</v>
      </c>
      <c r="B12" s="20" t="s">
        <v>174</v>
      </c>
      <c r="C12" s="20" t="s">
        <v>943</v>
      </c>
      <c r="D12" s="19" t="s">
        <v>958</v>
      </c>
      <c r="E12" s="19" t="s">
        <v>968</v>
      </c>
      <c r="F12" s="20" t="s">
        <v>969</v>
      </c>
      <c r="G12" s="25" t="n">
        <v>0.7</v>
      </c>
      <c r="H12" s="25" t="n">
        <v>0.8</v>
      </c>
      <c r="I12" s="20" t="s">
        <v>970</v>
      </c>
      <c r="J12" s="21" t="s">
        <v>971</v>
      </c>
      <c r="K12" s="26" t="n">
        <v>3.5</v>
      </c>
      <c r="L12" s="19" t="n">
        <v>30</v>
      </c>
      <c r="M12" s="19" t="n">
        <v>105</v>
      </c>
    </row>
    <row r="13" customFormat="false" ht="15" hidden="false" customHeight="false" outlineLevel="0" collapsed="false">
      <c r="A13" s="22" t="str">
        <f aca="false">B13&amp;"|"&amp;C13</f>
        <v>Isolation|Muscular endurance</v>
      </c>
      <c r="B13" s="20" t="s">
        <v>174</v>
      </c>
      <c r="C13" s="20" t="s">
        <v>949</v>
      </c>
      <c r="D13" s="19" t="s">
        <v>939</v>
      </c>
      <c r="E13" s="19" t="s">
        <v>972</v>
      </c>
      <c r="F13" s="20" t="s">
        <v>973</v>
      </c>
      <c r="G13" s="25" t="n">
        <v>0.4</v>
      </c>
      <c r="H13" s="25" t="n">
        <v>0.55</v>
      </c>
      <c r="I13" s="20" t="s">
        <v>974</v>
      </c>
      <c r="J13" s="21" t="s">
        <v>975</v>
      </c>
      <c r="K13" s="26" t="n">
        <v>2.5</v>
      </c>
      <c r="L13" s="19" t="n">
        <v>50</v>
      </c>
      <c r="M13" s="19" t="n">
        <v>45</v>
      </c>
    </row>
    <row r="14" customFormat="false" ht="15" hidden="false" customHeight="false" outlineLevel="0" collapsed="false">
      <c r="A14" s="22" t="str">
        <f aca="false">B14&amp;"|"&amp;C14</f>
        <v>Olympic lift|Explosivity</v>
      </c>
      <c r="B14" s="17" t="s">
        <v>169</v>
      </c>
      <c r="C14" s="17" t="s">
        <v>937</v>
      </c>
      <c r="D14" s="16" t="s">
        <v>959</v>
      </c>
      <c r="E14" s="16" t="s">
        <v>976</v>
      </c>
      <c r="F14" s="17" t="s">
        <v>977</v>
      </c>
      <c r="G14" s="23" t="n">
        <v>0.7</v>
      </c>
      <c r="H14" s="23" t="n">
        <v>0.85</v>
      </c>
      <c r="I14" s="17" t="s">
        <v>941</v>
      </c>
      <c r="J14" s="18" t="s">
        <v>978</v>
      </c>
      <c r="K14" s="24" t="n">
        <v>6.5</v>
      </c>
      <c r="L14" s="16" t="n">
        <v>10</v>
      </c>
      <c r="M14" s="16" t="n">
        <v>150</v>
      </c>
    </row>
    <row r="15" customFormat="false" ht="15" hidden="false" customHeight="false" outlineLevel="0" collapsed="false">
      <c r="A15" s="22" t="str">
        <f aca="false">B15&amp;"|"&amp;C15</f>
        <v>Olympic lift|Strength</v>
      </c>
      <c r="B15" s="20" t="s">
        <v>169</v>
      </c>
      <c r="C15" s="20" t="s">
        <v>943</v>
      </c>
      <c r="D15" s="19" t="s">
        <v>938</v>
      </c>
      <c r="E15" s="19" t="s">
        <v>939</v>
      </c>
      <c r="F15" s="20" t="s">
        <v>979</v>
      </c>
      <c r="G15" s="25" t="n">
        <v>0.85</v>
      </c>
      <c r="H15" s="25" t="n">
        <v>0.92</v>
      </c>
      <c r="I15" s="20" t="s">
        <v>980</v>
      </c>
      <c r="J15" s="21" t="s">
        <v>981</v>
      </c>
      <c r="K15" s="26" t="n">
        <v>5</v>
      </c>
      <c r="L15" s="19" t="n">
        <v>8</v>
      </c>
      <c r="M15" s="19" t="n">
        <v>210</v>
      </c>
    </row>
    <row r="16" customFormat="false" ht="15" hidden="false" customHeight="false" outlineLevel="0" collapsed="false">
      <c r="A16" s="22" t="str">
        <f aca="false">B16&amp;"|"&amp;C16</f>
        <v>Olympic lift|Muscular endurance</v>
      </c>
      <c r="B16" s="20" t="s">
        <v>169</v>
      </c>
      <c r="C16" s="20" t="s">
        <v>949</v>
      </c>
      <c r="D16" s="19" t="s">
        <v>944</v>
      </c>
      <c r="E16" s="19" t="s">
        <v>982</v>
      </c>
      <c r="F16" s="20" t="s">
        <v>983</v>
      </c>
      <c r="G16" s="25" t="n">
        <v>0.55</v>
      </c>
      <c r="H16" s="25" t="n">
        <v>0.65</v>
      </c>
      <c r="I16" s="20" t="s">
        <v>984</v>
      </c>
      <c r="J16" s="21" t="s">
        <v>985</v>
      </c>
      <c r="K16" s="26" t="n">
        <v>4</v>
      </c>
      <c r="L16" s="19" t="n">
        <v>25</v>
      </c>
      <c r="M16" s="19" t="n">
        <v>75</v>
      </c>
    </row>
    <row r="17" customFormat="false" ht="15" hidden="false" customHeight="false" outlineLevel="0" collapsed="false">
      <c r="A17" s="22" t="str">
        <f aca="false">B17&amp;"|"&amp;C17</f>
        <v>Plyometric|Explosivity</v>
      </c>
      <c r="B17" s="17" t="s">
        <v>435</v>
      </c>
      <c r="C17" s="17" t="s">
        <v>937</v>
      </c>
      <c r="D17" s="16" t="s">
        <v>938</v>
      </c>
      <c r="E17" s="16" t="s">
        <v>944</v>
      </c>
      <c r="F17" s="17" t="s">
        <v>111</v>
      </c>
      <c r="G17" s="23" t="n">
        <v>0</v>
      </c>
      <c r="H17" s="23" t="n">
        <v>0</v>
      </c>
      <c r="I17" s="17" t="s">
        <v>941</v>
      </c>
      <c r="J17" s="18" t="s">
        <v>986</v>
      </c>
      <c r="K17" s="24" t="n">
        <v>5</v>
      </c>
      <c r="L17" s="16" t="n">
        <v>15</v>
      </c>
      <c r="M17" s="16" t="n">
        <v>150</v>
      </c>
    </row>
    <row r="18" customFormat="false" ht="15" hidden="false" customHeight="false" outlineLevel="0" collapsed="false">
      <c r="A18" s="22" t="str">
        <f aca="false">B18&amp;"|"&amp;C18</f>
        <v>Plyometric|Strength</v>
      </c>
      <c r="B18" s="20" t="s">
        <v>435</v>
      </c>
      <c r="C18" s="20" t="s">
        <v>943</v>
      </c>
      <c r="D18" s="19" t="s">
        <v>944</v>
      </c>
      <c r="E18" s="19" t="s">
        <v>987</v>
      </c>
      <c r="F18" s="20" t="s">
        <v>988</v>
      </c>
      <c r="G18" s="25" t="n">
        <v>0</v>
      </c>
      <c r="H18" s="25" t="n">
        <v>0</v>
      </c>
      <c r="I18" s="20" t="s">
        <v>941</v>
      </c>
      <c r="J18" s="21" t="s">
        <v>989</v>
      </c>
      <c r="K18" s="26" t="n">
        <v>4</v>
      </c>
      <c r="L18" s="19" t="n">
        <v>15</v>
      </c>
      <c r="M18" s="19" t="n">
        <v>150</v>
      </c>
    </row>
    <row r="19" customFormat="false" ht="23.85" hidden="false" customHeight="false" outlineLevel="0" collapsed="false">
      <c r="A19" s="22" t="str">
        <f aca="false">B19&amp;"|"&amp;C19</f>
        <v>Plyometric|Muscular endurance</v>
      </c>
      <c r="B19" s="20" t="s">
        <v>435</v>
      </c>
      <c r="C19" s="20" t="s">
        <v>949</v>
      </c>
      <c r="D19" s="19" t="s">
        <v>950</v>
      </c>
      <c r="E19" s="19" t="s">
        <v>990</v>
      </c>
      <c r="F19" s="20" t="s">
        <v>111</v>
      </c>
      <c r="G19" s="25" t="n">
        <v>0</v>
      </c>
      <c r="H19" s="25" t="n">
        <v>0</v>
      </c>
      <c r="I19" s="20" t="s">
        <v>984</v>
      </c>
      <c r="J19" s="21" t="s">
        <v>991</v>
      </c>
      <c r="K19" s="26" t="n">
        <v>3</v>
      </c>
      <c r="L19" s="19" t="n">
        <v>25</v>
      </c>
      <c r="M19" s="19" t="n">
        <v>75</v>
      </c>
    </row>
    <row r="20" customFormat="false" ht="15" hidden="false" customHeight="false" outlineLevel="0" collapsed="false">
      <c r="A20" s="22" t="str">
        <f aca="false">B20&amp;"|"&amp;C20</f>
        <v>Core|Explosivity</v>
      </c>
      <c r="B20" s="17" t="s">
        <v>118</v>
      </c>
      <c r="C20" s="17" t="s">
        <v>937</v>
      </c>
      <c r="D20" s="16" t="s">
        <v>944</v>
      </c>
      <c r="E20" s="16" t="s">
        <v>992</v>
      </c>
      <c r="F20" s="17" t="s">
        <v>993</v>
      </c>
      <c r="G20" s="23" t="n">
        <v>0</v>
      </c>
      <c r="H20" s="23" t="n">
        <v>0</v>
      </c>
      <c r="I20" s="17" t="s">
        <v>970</v>
      </c>
      <c r="J20" s="18" t="s">
        <v>994</v>
      </c>
      <c r="K20" s="24" t="n">
        <v>4</v>
      </c>
      <c r="L20" s="16" t="n">
        <v>20</v>
      </c>
      <c r="M20" s="16" t="n">
        <v>105</v>
      </c>
    </row>
    <row r="21" customFormat="false" ht="15" hidden="false" customHeight="false" outlineLevel="0" collapsed="false">
      <c r="A21" s="22" t="str">
        <f aca="false">B21&amp;"|"&amp;C21</f>
        <v>Core|Strength</v>
      </c>
      <c r="B21" s="20" t="s">
        <v>118</v>
      </c>
      <c r="C21" s="20" t="s">
        <v>943</v>
      </c>
      <c r="D21" s="19" t="s">
        <v>958</v>
      </c>
      <c r="E21" s="19" t="s">
        <v>995</v>
      </c>
      <c r="F21" s="20" t="s">
        <v>996</v>
      </c>
      <c r="G21" s="25" t="n">
        <v>0</v>
      </c>
      <c r="H21" s="25" t="n">
        <v>0</v>
      </c>
      <c r="I21" s="20" t="s">
        <v>984</v>
      </c>
      <c r="J21" s="21" t="s">
        <v>997</v>
      </c>
      <c r="K21" s="26" t="n">
        <v>3.5</v>
      </c>
      <c r="L21" s="19" t="n">
        <v>35</v>
      </c>
      <c r="M21" s="19" t="n">
        <v>75</v>
      </c>
    </row>
    <row r="22" customFormat="false" ht="15" hidden="false" customHeight="false" outlineLevel="0" collapsed="false">
      <c r="A22" s="22" t="str">
        <f aca="false">B22&amp;"|"&amp;C22</f>
        <v>Core|Muscular endurance</v>
      </c>
      <c r="B22" s="20" t="s">
        <v>118</v>
      </c>
      <c r="C22" s="20" t="s">
        <v>949</v>
      </c>
      <c r="D22" s="19" t="s">
        <v>950</v>
      </c>
      <c r="E22" s="19" t="s">
        <v>998</v>
      </c>
      <c r="F22" s="20" t="s">
        <v>999</v>
      </c>
      <c r="G22" s="25" t="n">
        <v>0</v>
      </c>
      <c r="H22" s="25" t="n">
        <v>0</v>
      </c>
      <c r="I22" s="20" t="s">
        <v>974</v>
      </c>
      <c r="J22" s="21" t="s">
        <v>1000</v>
      </c>
      <c r="K22" s="26" t="n">
        <v>3</v>
      </c>
      <c r="L22" s="19" t="n">
        <v>45</v>
      </c>
      <c r="M22" s="19" t="n">
        <v>45</v>
      </c>
    </row>
    <row r="23" customFormat="false" ht="15" hidden="false" customHeight="false" outlineLevel="0" collapsed="false">
      <c r="A23" s="22" t="str">
        <f aca="false">B23&amp;"|"&amp;C23</f>
        <v>Carry|Explosivity</v>
      </c>
      <c r="B23" s="17" t="s">
        <v>527</v>
      </c>
      <c r="C23" s="17" t="s">
        <v>937</v>
      </c>
      <c r="D23" s="16" t="s">
        <v>944</v>
      </c>
      <c r="E23" s="16" t="s">
        <v>1001</v>
      </c>
      <c r="F23" s="17" t="s">
        <v>1002</v>
      </c>
      <c r="G23" s="23" t="n">
        <v>0.6</v>
      </c>
      <c r="H23" s="23" t="n">
        <v>0.75</v>
      </c>
      <c r="I23" s="17" t="s">
        <v>984</v>
      </c>
      <c r="J23" s="18" t="s">
        <v>1003</v>
      </c>
      <c r="K23" s="24" t="n">
        <v>4</v>
      </c>
      <c r="L23" s="16" t="n">
        <v>20</v>
      </c>
      <c r="M23" s="16" t="n">
        <v>75</v>
      </c>
    </row>
    <row r="24" customFormat="false" ht="15" hidden="false" customHeight="false" outlineLevel="0" collapsed="false">
      <c r="A24" s="22" t="str">
        <f aca="false">B24&amp;"|"&amp;C24</f>
        <v>Carry|Strength</v>
      </c>
      <c r="B24" s="20" t="s">
        <v>527</v>
      </c>
      <c r="C24" s="20" t="s">
        <v>943</v>
      </c>
      <c r="D24" s="19" t="s">
        <v>944</v>
      </c>
      <c r="E24" s="19" t="s">
        <v>1004</v>
      </c>
      <c r="F24" s="20" t="s">
        <v>1005</v>
      </c>
      <c r="G24" s="25" t="n">
        <v>0.7</v>
      </c>
      <c r="H24" s="25" t="n">
        <v>0.9</v>
      </c>
      <c r="I24" s="20" t="s">
        <v>970</v>
      </c>
      <c r="J24" s="21" t="s">
        <v>1006</v>
      </c>
      <c r="K24" s="26" t="n">
        <v>4</v>
      </c>
      <c r="L24" s="19" t="n">
        <v>30</v>
      </c>
      <c r="M24" s="19" t="n">
        <v>105</v>
      </c>
    </row>
    <row r="25" customFormat="false" ht="15" hidden="false" customHeight="false" outlineLevel="0" collapsed="false">
      <c r="A25" s="22" t="str">
        <f aca="false">B25&amp;"|"&amp;C25</f>
        <v>Carry|Muscular endurance</v>
      </c>
      <c r="B25" s="20" t="s">
        <v>527</v>
      </c>
      <c r="C25" s="20" t="s">
        <v>949</v>
      </c>
      <c r="D25" s="19" t="s">
        <v>950</v>
      </c>
      <c r="E25" s="19" t="s">
        <v>1007</v>
      </c>
      <c r="F25" s="20" t="s">
        <v>1008</v>
      </c>
      <c r="G25" s="25" t="n">
        <v>0.4</v>
      </c>
      <c r="H25" s="25" t="n">
        <v>0.55</v>
      </c>
      <c r="I25" s="20" t="s">
        <v>984</v>
      </c>
      <c r="J25" s="21" t="s">
        <v>1009</v>
      </c>
      <c r="K25" s="26" t="n">
        <v>3</v>
      </c>
      <c r="L25" s="19" t="n">
        <v>60</v>
      </c>
      <c r="M25" s="19" t="n">
        <v>75</v>
      </c>
    </row>
    <row r="26" customFormat="false" ht="15" hidden="false" customHeight="false" outlineLevel="0" collapsed="false">
      <c r="A26" s="2"/>
      <c r="B26" s="2"/>
      <c r="C26" s="2"/>
      <c r="D26" s="2"/>
      <c r="E26" s="2"/>
      <c r="F26" s="2"/>
      <c r="G26" s="2"/>
      <c r="H26" s="2"/>
      <c r="I26" s="2"/>
      <c r="J26" s="2"/>
      <c r="K26" s="2"/>
      <c r="L26" s="2"/>
      <c r="M26" s="2"/>
    </row>
    <row r="27" customFormat="false" ht="15" hidden="false" customHeight="false" outlineLevel="0" collapsed="false">
      <c r="A27" s="27" t="s">
        <v>1010</v>
      </c>
      <c r="B27" s="2"/>
      <c r="C27" s="2"/>
      <c r="D27" s="2"/>
      <c r="E27" s="2"/>
      <c r="F27" s="2"/>
      <c r="G27" s="2"/>
      <c r="H27" s="2"/>
      <c r="I27" s="2"/>
      <c r="J27" s="2"/>
      <c r="K27" s="2"/>
      <c r="L27" s="2"/>
      <c r="M27" s="2"/>
    </row>
    <row r="28" customFormat="false" ht="15" hidden="false" customHeight="false" outlineLevel="0" collapsed="false">
      <c r="A28" s="28" t="s">
        <v>1011</v>
      </c>
      <c r="B28" s="2"/>
      <c r="C28" s="2"/>
      <c r="D28" s="29" t="n">
        <v>90</v>
      </c>
      <c r="E28" s="8" t="s">
        <v>1012</v>
      </c>
      <c r="F28" s="2"/>
      <c r="G28" s="2"/>
      <c r="H28" s="2"/>
      <c r="I28" s="2"/>
      <c r="J28" s="2"/>
      <c r="K28" s="2"/>
      <c r="L28" s="2"/>
      <c r="M2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4" min="3" style="0" width="18"/>
    <col collapsed="false" customWidth="true" hidden="false" outlineLevel="0" max="5" min="5" style="0" width="12"/>
    <col collapsed="false" customWidth="true" hidden="false" outlineLevel="0" max="6" min="6" style="0" width="22"/>
    <col collapsed="false" customWidth="true" hidden="false" outlineLevel="0" max="7" min="7" style="0" width="15"/>
    <col collapsed="false" customWidth="true" hidden="false" outlineLevel="0" max="8" min="8" style="0" width="7"/>
    <col collapsed="false" customWidth="true" hidden="false" outlineLevel="0" max="9" min="9" style="0" width="17"/>
    <col collapsed="false" customWidth="true" hidden="false" outlineLevel="0" max="10" min="10" style="0" width="20"/>
    <col collapsed="false" customWidth="true" hidden="false" outlineLevel="0" max="11" min="11" style="0" width="17"/>
    <col collapsed="false" customWidth="true" hidden="false" outlineLevel="0" max="12" min="12" style="0" width="11"/>
    <col collapsed="false" customWidth="true" hidden="false" outlineLevel="0" max="13" min="13" style="0" width="44"/>
    <col collapsed="false" customWidth="true" hidden="false" outlineLevel="0" max="14" min="14" style="0" width="13"/>
    <col collapsed="false" customWidth="true" hidden="false" outlineLevel="0" max="15" min="15" style="0" width="26"/>
    <col collapsed="false" customWidth="true" hidden="false" outlineLevel="0" max="16" min="16" style="0" width="9"/>
    <col collapsed="false" customWidth="true" hidden="true" outlineLevel="0" max="23" min="18" style="0" width="13"/>
    <col collapsed="false" customWidth="true" hidden="true" outlineLevel="0" max="30" min="25" style="0" width="13"/>
    <col collapsed="false" customWidth="true" hidden="true" outlineLevel="0" max="37" min="32" style="0" width="13"/>
  </cols>
  <sheetData>
    <row r="1" customFormat="false" ht="24" hidden="false" customHeight="true" outlineLevel="0" collapsed="false">
      <c r="A1" s="1" t="s">
        <v>1013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customFormat="false" ht="15" hidden="false" customHeight="false" outlineLevel="0" collapsed="false">
      <c r="A3" s="30" t="s">
        <v>1014</v>
      </c>
      <c r="B3" s="15" t="s">
        <v>1015</v>
      </c>
      <c r="C3" s="2"/>
      <c r="D3" s="8" t="s">
        <v>1016</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customFormat="false" ht="15" hidden="false" customHeight="false" outlineLevel="0" collapsed="false">
      <c r="A4" s="30" t="s">
        <v>1017</v>
      </c>
      <c r="B4" s="3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customFormat="false" ht="15" hidden="false" customHeight="false" outlineLevel="0" collapsed="false">
      <c r="A5" s="30" t="s">
        <v>926</v>
      </c>
      <c r="B5" s="15" t="s">
        <v>943</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customFormat="false" ht="15" hidden="false" customHeight="false" outlineLevel="0" collapsed="false">
      <c r="A6" s="30" t="s">
        <v>1018</v>
      </c>
      <c r="B6" s="32" t="n">
        <v>15</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customFormat="false" ht="15" hidden="false" customHeight="false" outlineLevel="0" collapsed="false">
      <c r="A7" s="30" t="s">
        <v>1019</v>
      </c>
      <c r="B7" s="32" t="n">
        <v>8</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customFormat="false" ht="15" hidden="false" customHeight="false" outlineLevel="0" collapsed="false">
      <c r="A8" s="30" t="s">
        <v>1020</v>
      </c>
      <c r="B8" s="15" t="s">
        <v>1021</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row>
    <row r="9" customFormat="false" ht="15"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row>
    <row r="10" customFormat="false" ht="19.5" hidden="false" customHeight="true" outlineLevel="0" collapsed="false">
      <c r="A10" s="33" t="s">
        <v>1022</v>
      </c>
      <c r="B10" s="33"/>
      <c r="C10" s="33"/>
      <c r="D10" s="33"/>
      <c r="E10" s="33"/>
      <c r="F10" s="33"/>
      <c r="G10" s="33"/>
      <c r="H10" s="33"/>
      <c r="I10" s="33"/>
      <c r="J10" s="33"/>
      <c r="K10" s="33"/>
      <c r="L10" s="33"/>
      <c r="M10" s="33"/>
      <c r="N10" s="33"/>
      <c r="O10" s="33"/>
      <c r="P10" s="33"/>
      <c r="Q10" s="2"/>
      <c r="R10" s="2"/>
      <c r="S10" s="2"/>
      <c r="T10" s="2"/>
      <c r="U10" s="2"/>
      <c r="V10" s="2"/>
      <c r="W10" s="2"/>
      <c r="X10" s="2"/>
      <c r="Y10" s="2"/>
      <c r="Z10" s="2"/>
      <c r="AA10" s="2"/>
      <c r="AB10" s="2"/>
      <c r="AC10" s="2"/>
      <c r="AD10" s="2"/>
      <c r="AE10" s="2"/>
      <c r="AF10" s="2"/>
      <c r="AG10" s="2"/>
      <c r="AH10" s="2"/>
      <c r="AI10" s="2"/>
      <c r="AJ10" s="2"/>
      <c r="AK10" s="2"/>
    </row>
    <row r="11" customFormat="false" ht="19.5" hidden="false" customHeight="true" outlineLevel="0" collapsed="false">
      <c r="A11" s="9" t="s">
        <v>1023</v>
      </c>
      <c r="B11" s="9" t="s">
        <v>648</v>
      </c>
      <c r="C11" s="9" t="s">
        <v>649</v>
      </c>
      <c r="D11" s="9" t="s">
        <v>1024</v>
      </c>
      <c r="E11" s="9" t="s">
        <v>1025</v>
      </c>
      <c r="F11" s="9" t="s">
        <v>654</v>
      </c>
      <c r="G11" s="34"/>
      <c r="H11" s="34"/>
      <c r="I11" s="34"/>
      <c r="J11" s="34"/>
      <c r="K11" s="34"/>
      <c r="L11" s="34"/>
      <c r="M11" s="34"/>
      <c r="N11" s="2"/>
      <c r="O11" s="2"/>
      <c r="P11" s="2"/>
      <c r="Q11" s="2"/>
      <c r="R11" s="2"/>
      <c r="S11" s="2"/>
      <c r="T11" s="2"/>
      <c r="U11" s="2"/>
      <c r="V11" s="2"/>
      <c r="W11" s="2"/>
      <c r="X11" s="2"/>
      <c r="Y11" s="2"/>
      <c r="Z11" s="2"/>
      <c r="AA11" s="2"/>
      <c r="AB11" s="2"/>
      <c r="AC11" s="2"/>
      <c r="AD11" s="2"/>
      <c r="AE11" s="2"/>
      <c r="AF11" s="2"/>
      <c r="AG11" s="2"/>
      <c r="AH11" s="2"/>
      <c r="AI11" s="2"/>
      <c r="AJ11" s="2"/>
      <c r="AK11" s="2"/>
    </row>
    <row r="12" customFormat="false" ht="24" hidden="false" customHeight="true" outlineLevel="0" collapsed="false">
      <c r="A12" s="35" t="n">
        <v>1</v>
      </c>
      <c r="B12" s="36" t="str">
        <f aca="false">IFERROR(INDEX(WuName,MATCH(1,$AD$12:$AD$60,0)),"")</f>
        <v>Easy cardio</v>
      </c>
      <c r="C12" s="36" t="str">
        <f aca="false">IF($B12="","",INDEX(WuPhase,MATCH(1,$AD$12:$AD$60,0)))</f>
        <v>1 Raise</v>
      </c>
      <c r="D12" s="36" t="str">
        <f aca="false">IF($B12="","",INDEX(WuTrigger,MATCH(1,$AD$12:$AD$60,0)))</f>
        <v>Always</v>
      </c>
      <c r="E12" s="35" t="n">
        <f aca="false">IF($B12="","",INDEX(WuMin,MATCH(1,$AD$12:$AD$60,0)))</f>
        <v>4</v>
      </c>
      <c r="F12" s="37" t="str">
        <f aca="false">IF($B12="","",INDEX(WuHow,MATCH(1,$AD$12:$AD$60,0)))</f>
        <v>Bike, row or ski erg at a conversational pace until you break a light sweat.</v>
      </c>
      <c r="G12" s="37"/>
      <c r="H12" s="37"/>
      <c r="I12" s="37"/>
      <c r="J12" s="37"/>
      <c r="K12" s="37"/>
      <c r="L12" s="37"/>
      <c r="M12" s="37"/>
      <c r="N12" s="2"/>
      <c r="O12" s="2"/>
      <c r="P12" s="2"/>
      <c r="Q12" s="2"/>
      <c r="R12" s="2"/>
      <c r="S12" s="2"/>
      <c r="T12" s="2"/>
      <c r="U12" s="2"/>
      <c r="V12" s="2"/>
      <c r="W12" s="2"/>
      <c r="X12" s="2"/>
      <c r="Y12" s="2" t="n">
        <f aca="false">IF(OR(INDEX(WuTrigger,1)="Always",COUNTIF($D$30:$D$51,INDEX(WuTrigger,1))&gt;0,COUNTIF($E$30:$E$51,INDEX(WuTrigger,1))&gt;0),1,0)</f>
        <v>1</v>
      </c>
      <c r="Z12" s="2" t="n">
        <f aca="false">INDEX(WuPriority,1)*1000+1</f>
        <v>1001</v>
      </c>
      <c r="AA12" s="2" t="n">
        <f aca="false">IF($Y12=0,"",SUMIFS(WuMin,$Y$12:$Y$60,1,$Z$12:$Z$60,"&lt;="&amp;$Z12))</f>
        <v>4</v>
      </c>
      <c r="AB12" s="2" t="n">
        <f aca="false">IF(AND($Y12=1,$AA12&lt;=$B$6),1,0)</f>
        <v>1</v>
      </c>
      <c r="AC12" s="2" t="n">
        <f aca="false">INDEX(WuPhaseN,1)*1000+1</f>
        <v>1001</v>
      </c>
      <c r="AD12" s="2" t="n">
        <f aca="false">IF($AB12=0,"",COUNTIFS($AB$12:$AB$60,1,$AC$12:$AC$60,"&lt;"&amp;$AC12)+1)</f>
        <v>1</v>
      </c>
      <c r="AE12" s="2"/>
      <c r="AF12" s="2" t="n">
        <f aca="false">IF(OR(INDEX(MoTarget,1)="Always",COUNTIF($E$30:$E$51,INDEX(MoTarget,1))&gt;0,COUNTIF($F$30:$F$51,"*"&amp;INDEX(MoTarget,1)&amp;"*")&gt;0),1,0)</f>
        <v>1</v>
      </c>
      <c r="AG12" s="2" t="n">
        <f aca="false">INDEX(MoPriority,1)*1000+1</f>
        <v>1001</v>
      </c>
      <c r="AH12" s="2" t="n">
        <f aca="false">IF($AF12=0,"",SUMIFS(MoMin,$AF$12:$AF$54,1,$AG$12:$AG$54,"&lt;="&amp;$AG12))</f>
        <v>2</v>
      </c>
      <c r="AI12" s="2" t="n">
        <f aca="false">IF(AND($AF12=1,$AH12&lt;=$B$7),1,0)</f>
        <v>1</v>
      </c>
      <c r="AJ12" s="2" t="n">
        <f aca="false">INDEX(MoTypeN,1)*1000+1</f>
        <v>1001</v>
      </c>
      <c r="AK12" s="2" t="n">
        <f aca="false">IF($AI12=0,"",COUNTIFS($AI$12:$AI$54,1,$AJ$12:$AJ$54,"&lt;"&amp;$AJ12)+1)</f>
        <v>1</v>
      </c>
    </row>
    <row r="13" customFormat="false" ht="24" hidden="false" customHeight="true" outlineLevel="0" collapsed="false">
      <c r="A13" s="35" t="n">
        <v>2</v>
      </c>
      <c r="B13" s="36" t="str">
        <f aca="false">IFERROR(INDEX(WuName,MATCH(2,$AD$12:$AD$60,0)),"")</f>
        <v>Bodyweight squat</v>
      </c>
      <c r="C13" s="36" t="str">
        <f aca="false">IF($B13="","",INDEX(WuPhase,MATCH(2,$AD$12:$AD$60,0)))</f>
        <v>3 Activate</v>
      </c>
      <c r="D13" s="36" t="str">
        <f aca="false">IF($B13="","",INDEX(WuTrigger,MATCH(2,$AD$12:$AD$60,0)))</f>
        <v>Squat</v>
      </c>
      <c r="E13" s="35" t="n">
        <f aca="false">IF($B13="","",INDEX(WuMin,MATCH(2,$AD$12:$AD$60,0)))</f>
        <v>2</v>
      </c>
      <c r="F13" s="37" t="str">
        <f aca="false">IF($B13="","",INDEX(WuHow,MATCH(2,$AD$12:$AD$60,0)))</f>
        <v>15 slow reps, pausing 2 s at the bottom of each.</v>
      </c>
      <c r="G13" s="37"/>
      <c r="H13" s="37"/>
      <c r="I13" s="37"/>
      <c r="J13" s="37"/>
      <c r="K13" s="37"/>
      <c r="L13" s="37"/>
      <c r="M13" s="37"/>
      <c r="N13" s="2"/>
      <c r="O13" s="2"/>
      <c r="P13" s="2"/>
      <c r="Q13" s="2"/>
      <c r="R13" s="2"/>
      <c r="S13" s="2"/>
      <c r="T13" s="2"/>
      <c r="U13" s="2"/>
      <c r="V13" s="2"/>
      <c r="W13" s="2"/>
      <c r="X13" s="2"/>
      <c r="Y13" s="2" t="n">
        <f aca="false">IF(OR(INDEX(WuTrigger,2)="Always",COUNTIF($D$30:$D$51,INDEX(WuTrigger,2))&gt;0,COUNTIF($E$30:$E$51,INDEX(WuTrigger,2))&gt;0),1,0)</f>
        <v>1</v>
      </c>
      <c r="Z13" s="2" t="n">
        <f aca="false">INDEX(WuPriority,2)*1000+2</f>
        <v>5002</v>
      </c>
      <c r="AA13" s="2" t="n">
        <f aca="false">IF($Y13=0,"",SUMIFS(WuMin,$Y$12:$Y$60,1,$Z$12:$Z$60,"&lt;="&amp;$Z13))</f>
        <v>30</v>
      </c>
      <c r="AB13" s="2" t="n">
        <f aca="false">IF(AND($Y13=1,$AA13&lt;=$B$6),1,0)</f>
        <v>0</v>
      </c>
      <c r="AC13" s="2" t="n">
        <f aca="false">INDEX(WuPhaseN,2)*1000+2</f>
        <v>2002</v>
      </c>
      <c r="AD13" s="2" t="str">
        <f aca="false">IF($AB13=0,"",COUNTIFS($AB$12:$AB$60,1,$AC$12:$AC$60,"&lt;"&amp;$AC13)+1)</f>
        <v/>
      </c>
      <c r="AE13" s="2"/>
      <c r="AF13" s="2" t="n">
        <f aca="false">IF(OR(INDEX(MoTarget,2)="Always",COUNTIF($E$30:$E$51,INDEX(MoTarget,2))&gt;0,COUNTIF($F$30:$F$51,"*"&amp;INDEX(MoTarget,2)&amp;"*")&gt;0),1,0)</f>
        <v>1</v>
      </c>
      <c r="AG13" s="2" t="n">
        <f aca="false">INDEX(MoPriority,2)*1000+2</f>
        <v>2002</v>
      </c>
      <c r="AH13" s="2" t="n">
        <f aca="false">IF($AF13=0,"",SUMIFS(MoMin,$AF$12:$AF$54,1,$AG$12:$AG$54,"&lt;="&amp;$AG13))</f>
        <v>4</v>
      </c>
      <c r="AI13" s="2" t="n">
        <f aca="false">IF(AND($AF13=1,$AH13&lt;=$B$7),1,0)</f>
        <v>1</v>
      </c>
      <c r="AJ13" s="2" t="n">
        <f aca="false">INDEX(MoTypeN,2)*1000+2</f>
        <v>1002</v>
      </c>
      <c r="AK13" s="2" t="n">
        <f aca="false">IF($AI13=0,"",COUNTIFS($AI$12:$AI$54,1,$AJ$12:$AJ$54,"&lt;"&amp;$AJ13)+1)</f>
        <v>2</v>
      </c>
    </row>
    <row r="14" customFormat="false" ht="24" hidden="false" customHeight="true" outlineLevel="0" collapsed="false">
      <c r="A14" s="35" t="n">
        <v>3</v>
      </c>
      <c r="B14" s="36" t="str">
        <f aca="false">IFERROR(INDEX(WuName,MATCH(3,$AD$12:$AD$60,0)),"")</f>
        <v>Glute bridge</v>
      </c>
      <c r="C14" s="36" t="str">
        <f aca="false">IF($B14="","",INDEX(WuPhase,MATCH(3,$AD$12:$AD$60,0)))</f>
        <v>3 Activate</v>
      </c>
      <c r="D14" s="36" t="str">
        <f aca="false">IF($B14="","",INDEX(WuTrigger,MATCH(3,$AD$12:$AD$60,0)))</f>
        <v>Hinge</v>
      </c>
      <c r="E14" s="35" t="n">
        <f aca="false">IF($B14="","",INDEX(WuMin,MATCH(3,$AD$12:$AD$60,0)))</f>
        <v>2</v>
      </c>
      <c r="F14" s="37" t="str">
        <f aca="false">IF($B14="","",INDEX(WuHow,MATCH(3,$AD$12:$AD$60,0)))</f>
        <v>15 reps with a 2 s squeeze at the top. Ribs down.</v>
      </c>
      <c r="G14" s="37"/>
      <c r="H14" s="37"/>
      <c r="I14" s="37"/>
      <c r="J14" s="37"/>
      <c r="K14" s="37"/>
      <c r="L14" s="37"/>
      <c r="M14" s="37"/>
      <c r="N14" s="2"/>
      <c r="O14" s="2"/>
      <c r="P14" s="2"/>
      <c r="Q14" s="2"/>
      <c r="R14" s="2"/>
      <c r="S14" s="2"/>
      <c r="T14" s="2"/>
      <c r="U14" s="2"/>
      <c r="V14" s="2"/>
      <c r="W14" s="2"/>
      <c r="X14" s="2"/>
      <c r="Y14" s="2" t="n">
        <f aca="false">IF(OR(INDEX(WuTrigger,3)="Always",COUNTIF($D$30:$D$51,INDEX(WuTrigger,3))&gt;0,COUNTIF($E$30:$E$51,INDEX(WuTrigger,3))&gt;0),1,0)</f>
        <v>1</v>
      </c>
      <c r="Z14" s="2" t="n">
        <f aca="false">INDEX(WuPriority,3)*1000+3</f>
        <v>4003</v>
      </c>
      <c r="AA14" s="2" t="n">
        <f aca="false">IF($Y14=0,"",SUMIFS(WuMin,$Y$12:$Y$60,1,$Z$12:$Z$60,"&lt;="&amp;$Z14))</f>
        <v>16</v>
      </c>
      <c r="AB14" s="2" t="n">
        <f aca="false">IF(AND($Y14=1,$AA14&lt;=$B$6),1,0)</f>
        <v>0</v>
      </c>
      <c r="AC14" s="2" t="n">
        <f aca="false">INDEX(WuPhaseN,3)*1000+3</f>
        <v>2003</v>
      </c>
      <c r="AD14" s="2" t="str">
        <f aca="false">IF($AB14=0,"",COUNTIFS($AB$12:$AB$60,1,$AC$12:$AC$60,"&lt;"&amp;$AC14)+1)</f>
        <v/>
      </c>
      <c r="AE14" s="2"/>
      <c r="AF14" s="2" t="n">
        <f aca="false">IF(OR(INDEX(MoTarget,3)="Always",COUNTIF($E$30:$E$51,INDEX(MoTarget,3))&gt;0,COUNTIF($F$30:$F$51,"*"&amp;INDEX(MoTarget,3)&amp;"*")&gt;0),1,0)</f>
        <v>1</v>
      </c>
      <c r="AG14" s="2" t="n">
        <f aca="false">INDEX(MoPriority,3)*1000+3</f>
        <v>3003</v>
      </c>
      <c r="AH14" s="2" t="n">
        <f aca="false">IF($AF14=0,"",SUMIFS(MoMin,$AF$12:$AF$54,1,$AG$12:$AG$54,"&lt;="&amp;$AG14))</f>
        <v>29</v>
      </c>
      <c r="AI14" s="2" t="n">
        <f aca="false">IF(AND($AF14=1,$AH14&lt;=$B$7),1,0)</f>
        <v>0</v>
      </c>
      <c r="AJ14" s="2" t="n">
        <f aca="false">INDEX(MoTypeN,3)*1000+3</f>
        <v>1003</v>
      </c>
      <c r="AK14" s="2" t="str">
        <f aca="false">IF($AI14=0,"",COUNTIFS($AI$12:$AI$54,1,$AJ$12:$AJ$54,"&lt;"&amp;$AJ14)+1)</f>
        <v/>
      </c>
    </row>
    <row r="15" customFormat="false" ht="24" hidden="false" customHeight="true" outlineLevel="0" collapsed="false">
      <c r="A15" s="35" t="n">
        <v>4</v>
      </c>
      <c r="B15" s="36" t="str">
        <f aca="false">IFERROR(INDEX(WuName,MATCH(4,$AD$12:$AD$60,0)),"")</f>
        <v>Specific ramp-up sets</v>
      </c>
      <c r="C15" s="36" t="str">
        <f aca="false">IF($B15="","",INDEX(WuPhase,MATCH(4,$AD$12:$AD$60,0)))</f>
        <v>4 Specific</v>
      </c>
      <c r="D15" s="36" t="str">
        <f aca="false">IF($B15="","",INDEX(WuTrigger,MATCH(4,$AD$12:$AD$60,0)))</f>
        <v>Always</v>
      </c>
      <c r="E15" s="35" t="n">
        <f aca="false">IF($B15="","",INDEX(WuMin,MATCH(4,$AD$12:$AD$60,0)))</f>
        <v>5</v>
      </c>
      <c r="F15" s="37" t="str">
        <f aca="false">IF($B15="","",INDEX(WuHow,MATCH(4,$AD$12:$AD$60,0)))</f>
        <v>2–4 progressively heavier sets of your first main lift: roughly 40%, 60%, 80% of the working weight.</v>
      </c>
      <c r="G15" s="37"/>
      <c r="H15" s="37"/>
      <c r="I15" s="37"/>
      <c r="J15" s="37"/>
      <c r="K15" s="37"/>
      <c r="L15" s="37"/>
      <c r="M15" s="37"/>
      <c r="N15" s="2"/>
      <c r="O15" s="2"/>
      <c r="P15" s="2"/>
      <c r="Q15" s="2"/>
      <c r="R15" s="2"/>
      <c r="S15" s="2"/>
      <c r="T15" s="2"/>
      <c r="U15" s="2"/>
      <c r="V15" s="2"/>
      <c r="W15" s="2"/>
      <c r="X15" s="2"/>
      <c r="Y15" s="2" t="n">
        <f aca="false">IF(OR(INDEX(WuTrigger,4)="Always",COUNTIF($D$30:$D$51,INDEX(WuTrigger,4))&gt;0,COUNTIF($E$30:$E$51,INDEX(WuTrigger,4))&gt;0),1,0)</f>
        <v>1</v>
      </c>
      <c r="Z15" s="2" t="n">
        <f aca="false">INDEX(WuPriority,4)*1000+4</f>
        <v>2004</v>
      </c>
      <c r="AA15" s="2" t="n">
        <f aca="false">IF($Y15=0,"",SUMIFS(WuMin,$Y$12:$Y$60,1,$Z$12:$Z$60,"&lt;="&amp;$Z15))</f>
        <v>9</v>
      </c>
      <c r="AB15" s="2" t="n">
        <f aca="false">IF(AND($Y15=1,$AA15&lt;=$B$6),1,0)</f>
        <v>1</v>
      </c>
      <c r="AC15" s="2" t="n">
        <f aca="false">INDEX(WuPhaseN,4)*1000+4</f>
        <v>4004</v>
      </c>
      <c r="AD15" s="2" t="n">
        <f aca="false">IF($AB15=0,"",COUNTIFS($AB$12:$AB$60,1,$AC$12:$AC$60,"&lt;"&amp;$AC15)+1)</f>
        <v>4</v>
      </c>
      <c r="AE15" s="2"/>
      <c r="AF15" s="2" t="n">
        <f aca="false">IF(OR(INDEX(MoTarget,4)="Always",COUNTIF($E$30:$E$51,INDEX(MoTarget,4))&gt;0,COUNTIF($F$30:$F$51,"*"&amp;INDEX(MoTarget,4)&amp;"*")&gt;0),1,0)</f>
        <v>1</v>
      </c>
      <c r="AG15" s="2" t="n">
        <f aca="false">INDEX(MoPriority,4)*1000+4</f>
        <v>4004</v>
      </c>
      <c r="AH15" s="2" t="n">
        <f aca="false">IF($AF15=0,"",SUMIFS(MoMin,$AF$12:$AF$54,1,$AG$12:$AG$54,"&lt;="&amp;$AG15))</f>
        <v>52</v>
      </c>
      <c r="AI15" s="2" t="n">
        <f aca="false">IF(AND($AF15=1,$AH15&lt;=$B$7),1,0)</f>
        <v>0</v>
      </c>
      <c r="AJ15" s="2" t="n">
        <f aca="false">INDEX(MoTypeN,4)*1000+4</f>
        <v>5004</v>
      </c>
      <c r="AK15" s="2" t="str">
        <f aca="false">IF($AI15=0,"",COUNTIFS($AI$12:$AI$54,1,$AJ$12:$AJ$54,"&lt;"&amp;$AJ15)+1)</f>
        <v/>
      </c>
    </row>
    <row r="16" customFormat="false" ht="24" hidden="false" customHeight="true" outlineLevel="0" collapsed="false">
      <c r="A16" s="35" t="n">
        <v>5</v>
      </c>
      <c r="B16" s="36" t="str">
        <f aca="false">IFERROR(INDEX(WuName,MATCH(5,$AD$12:$AD$60,0)),"")</f>
        <v/>
      </c>
      <c r="C16" s="36" t="str">
        <f aca="false">IF($B16="","",INDEX(WuPhase,MATCH(5,$AD$12:$AD$60,0)))</f>
        <v/>
      </c>
      <c r="D16" s="36" t="str">
        <f aca="false">IF($B16="","",INDEX(WuTrigger,MATCH(5,$AD$12:$AD$60,0)))</f>
        <v/>
      </c>
      <c r="E16" s="35" t="str">
        <f aca="false">IF($B16="","",INDEX(WuMin,MATCH(5,$AD$12:$AD$60,0)))</f>
        <v/>
      </c>
      <c r="F16" s="37" t="str">
        <f aca="false">IF($B16="","",INDEX(WuHow,MATCH(5,$AD$12:$AD$60,0)))</f>
        <v/>
      </c>
      <c r="G16" s="37"/>
      <c r="H16" s="37"/>
      <c r="I16" s="37"/>
      <c r="J16" s="37"/>
      <c r="K16" s="37"/>
      <c r="L16" s="37"/>
      <c r="M16" s="37"/>
      <c r="N16" s="2"/>
      <c r="O16" s="2"/>
      <c r="P16" s="2"/>
      <c r="Q16" s="2"/>
      <c r="R16" s="2"/>
      <c r="S16" s="2"/>
      <c r="T16" s="2"/>
      <c r="U16" s="2"/>
      <c r="V16" s="2"/>
      <c r="W16" s="2"/>
      <c r="X16" s="2"/>
      <c r="Y16" s="2" t="n">
        <f aca="false">IF(OR(INDEX(WuTrigger,5)="Always",COUNTIF($D$30:$D$51,INDEX(WuTrigger,5))&gt;0,COUNTIF($E$30:$E$51,INDEX(WuTrigger,5))&gt;0),1,0)</f>
        <v>1</v>
      </c>
      <c r="Z16" s="2" t="n">
        <f aca="false">INDEX(WuPriority,5)*1000+5</f>
        <v>5005</v>
      </c>
      <c r="AA16" s="2" t="n">
        <f aca="false">IF($Y16=0,"",SUMIFS(WuMin,$Y$12:$Y$60,1,$Z$12:$Z$60,"&lt;="&amp;$Z16))</f>
        <v>32</v>
      </c>
      <c r="AB16" s="2" t="n">
        <f aca="false">IF(AND($Y16=1,$AA16&lt;=$B$6),1,0)</f>
        <v>0</v>
      </c>
      <c r="AC16" s="2" t="n">
        <f aca="false">INDEX(WuPhaseN,5)*1000+5</f>
        <v>2005</v>
      </c>
      <c r="AD16" s="2" t="str">
        <f aca="false">IF($AB16=0,"",COUNTIFS($AB$12:$AB$60,1,$AC$12:$AC$60,"&lt;"&amp;$AC16)+1)</f>
        <v/>
      </c>
      <c r="AE16" s="2"/>
      <c r="AF16" s="2" t="n">
        <f aca="false">IF(OR(INDEX(MoTarget,5)="Always",COUNTIF($E$30:$E$51,INDEX(MoTarget,5))&gt;0,COUNTIF($F$30:$F$51,"*"&amp;INDEX(MoTarget,5)&amp;"*")&gt;0),1,0)</f>
        <v>1</v>
      </c>
      <c r="AG16" s="2" t="n">
        <f aca="false">INDEX(MoPriority,5)*1000+5</f>
        <v>6005</v>
      </c>
      <c r="AH16" s="2" t="n">
        <f aca="false">IF($AF16=0,"",SUMIFS(MoMin,$AF$12:$AF$54,1,$AG$12:$AG$54,"&lt;="&amp;$AG16))</f>
        <v>73</v>
      </c>
      <c r="AI16" s="2" t="n">
        <f aca="false">IF(AND($AF16=1,$AH16&lt;=$B$7),1,0)</f>
        <v>0</v>
      </c>
      <c r="AJ16" s="2" t="n">
        <f aca="false">INDEX(MoTypeN,5)*1000+5</f>
        <v>5005</v>
      </c>
      <c r="AK16" s="2" t="str">
        <f aca="false">IF($AI16=0,"",COUNTIFS($AI$12:$AI$54,1,$AJ$12:$AJ$54,"&lt;"&amp;$AJ16)+1)</f>
        <v/>
      </c>
    </row>
    <row r="17" customFormat="false" ht="24" hidden="false" customHeight="true" outlineLevel="0" collapsed="false">
      <c r="A17" s="35" t="n">
        <v>6</v>
      </c>
      <c r="B17" s="36" t="str">
        <f aca="false">IFERROR(INDEX(WuName,MATCH(6,$AD$12:$AD$60,0)),"")</f>
        <v/>
      </c>
      <c r="C17" s="36" t="str">
        <f aca="false">IF($B17="","",INDEX(WuPhase,MATCH(6,$AD$12:$AD$60,0)))</f>
        <v/>
      </c>
      <c r="D17" s="36" t="str">
        <f aca="false">IF($B17="","",INDEX(WuTrigger,MATCH(6,$AD$12:$AD$60,0)))</f>
        <v/>
      </c>
      <c r="E17" s="35" t="str">
        <f aca="false">IF($B17="","",INDEX(WuMin,MATCH(6,$AD$12:$AD$60,0)))</f>
        <v/>
      </c>
      <c r="F17" s="37" t="str">
        <f aca="false">IF($B17="","",INDEX(WuHow,MATCH(6,$AD$12:$AD$60,0)))</f>
        <v/>
      </c>
      <c r="G17" s="37"/>
      <c r="H17" s="37"/>
      <c r="I17" s="37"/>
      <c r="J17" s="37"/>
      <c r="K17" s="37"/>
      <c r="L17" s="37"/>
      <c r="M17" s="37"/>
      <c r="N17" s="2"/>
      <c r="O17" s="2"/>
      <c r="P17" s="2"/>
      <c r="Q17" s="2"/>
      <c r="R17" s="2"/>
      <c r="S17" s="2"/>
      <c r="T17" s="2"/>
      <c r="U17" s="2"/>
      <c r="V17" s="2"/>
      <c r="W17" s="2"/>
      <c r="X17" s="2"/>
      <c r="Y17" s="2" t="n">
        <f aca="false">IF(OR(INDEX(WuTrigger,6)="Always",COUNTIF($D$30:$D$51,INDEX(WuTrigger,6))&gt;0,COUNTIF($E$30:$E$51,INDEX(WuTrigger,6))&gt;0),1,0)</f>
        <v>1</v>
      </c>
      <c r="Z17" s="2" t="n">
        <f aca="false">INDEX(WuPriority,6)*1000+6</f>
        <v>6006</v>
      </c>
      <c r="AA17" s="2" t="n">
        <f aca="false">IF($Y17=0,"",SUMIFS(WuMin,$Y$12:$Y$60,1,$Z$12:$Z$60,"&lt;="&amp;$Z17))</f>
        <v>40</v>
      </c>
      <c r="AB17" s="2" t="n">
        <f aca="false">IF(AND($Y17=1,$AA17&lt;=$B$6),1,0)</f>
        <v>0</v>
      </c>
      <c r="AC17" s="2" t="n">
        <f aca="false">INDEX(WuPhaseN,6)*1000+6</f>
        <v>2006</v>
      </c>
      <c r="AD17" s="2" t="str">
        <f aca="false">IF($AB17=0,"",COUNTIFS($AB$12:$AB$60,1,$AC$12:$AC$60,"&lt;"&amp;$AC17)+1)</f>
        <v/>
      </c>
      <c r="AE17" s="2"/>
      <c r="AF17" s="2" t="n">
        <f aca="false">IF(OR(INDEX(MoTarget,6)="Always",COUNTIF($E$30:$E$51,INDEX(MoTarget,6))&gt;0,COUNTIF($F$30:$F$51,"*"&amp;INDEX(MoTarget,6)&amp;"*")&gt;0),1,0)</f>
        <v>1</v>
      </c>
      <c r="AG17" s="2" t="n">
        <f aca="false">INDEX(MoPriority,6)*1000+6</f>
        <v>7006</v>
      </c>
      <c r="AH17" s="2" t="n">
        <f aca="false">IF($AF17=0,"",SUMIFS(MoMin,$AF$12:$AF$54,1,$AG$12:$AG$54,"&lt;="&amp;$AG17))</f>
        <v>79</v>
      </c>
      <c r="AI17" s="2" t="n">
        <f aca="false">IF(AND($AF17=1,$AH17&lt;=$B$7),1,0)</f>
        <v>0</v>
      </c>
      <c r="AJ17" s="2" t="n">
        <f aca="false">INDEX(MoTypeN,6)*1000+6</f>
        <v>5006</v>
      </c>
      <c r="AK17" s="2" t="str">
        <f aca="false">IF($AI17=0,"",COUNTIFS($AI$12:$AI$54,1,$AJ$12:$AJ$54,"&lt;"&amp;$AJ17)+1)</f>
        <v/>
      </c>
    </row>
    <row r="18" customFormat="false" ht="24" hidden="false" customHeight="true" outlineLevel="0" collapsed="false">
      <c r="A18" s="35" t="n">
        <v>7</v>
      </c>
      <c r="B18" s="36" t="str">
        <f aca="false">IFERROR(INDEX(WuName,MATCH(7,$AD$12:$AD$60,0)),"")</f>
        <v/>
      </c>
      <c r="C18" s="36" t="str">
        <f aca="false">IF($B18="","",INDEX(WuPhase,MATCH(7,$AD$12:$AD$60,0)))</f>
        <v/>
      </c>
      <c r="D18" s="36" t="str">
        <f aca="false">IF($B18="","",INDEX(WuTrigger,MATCH(7,$AD$12:$AD$60,0)))</f>
        <v/>
      </c>
      <c r="E18" s="35" t="str">
        <f aca="false">IF($B18="","",INDEX(WuMin,MATCH(7,$AD$12:$AD$60,0)))</f>
        <v/>
      </c>
      <c r="F18" s="37" t="str">
        <f aca="false">IF($B18="","",INDEX(WuHow,MATCH(7,$AD$12:$AD$60,0)))</f>
        <v/>
      </c>
      <c r="G18" s="37"/>
      <c r="H18" s="37"/>
      <c r="I18" s="37"/>
      <c r="J18" s="37"/>
      <c r="K18" s="37"/>
      <c r="L18" s="37"/>
      <c r="M18" s="37"/>
      <c r="N18" s="2"/>
      <c r="O18" s="2"/>
      <c r="P18" s="2"/>
      <c r="Q18" s="2"/>
      <c r="R18" s="2"/>
      <c r="S18" s="2"/>
      <c r="T18" s="2"/>
      <c r="U18" s="2"/>
      <c r="V18" s="2"/>
      <c r="W18" s="2"/>
      <c r="X18" s="2"/>
      <c r="Y18" s="2" t="n">
        <f aca="false">IF(OR(INDEX(WuTrigger,7)="Always",COUNTIF($D$30:$D$51,INDEX(WuTrigger,7))&gt;0,COUNTIF($E$30:$E$51,INDEX(WuTrigger,7))&gt;0),1,0)</f>
        <v>1</v>
      </c>
      <c r="Z18" s="2" t="n">
        <f aca="false">INDEX(WuPriority,7)*1000+7</f>
        <v>3007</v>
      </c>
      <c r="AA18" s="2" t="n">
        <f aca="false">IF($Y18=0,"",SUMIFS(WuMin,$Y$12:$Y$60,1,$Z$12:$Z$60,"&lt;="&amp;$Z18))</f>
        <v>11</v>
      </c>
      <c r="AB18" s="2" t="n">
        <f aca="false">IF(AND($Y18=1,$AA18&lt;=$B$6),1,0)</f>
        <v>1</v>
      </c>
      <c r="AC18" s="2" t="n">
        <f aca="false">INDEX(WuPhaseN,7)*1000+7</f>
        <v>3007</v>
      </c>
      <c r="AD18" s="2" t="n">
        <f aca="false">IF($AB18=0,"",COUNTIFS($AB$12:$AB$60,1,$AC$12:$AC$60,"&lt;"&amp;$AC18)+1)</f>
        <v>2</v>
      </c>
      <c r="AE18" s="2"/>
      <c r="AF18" s="2" t="n">
        <f aca="false">IF(OR(INDEX(MoTarget,7)="Always",COUNTIF($E$30:$E$51,INDEX(MoTarget,7))&gt;0,COUNTIF($F$30:$F$51,"*"&amp;INDEX(MoTarget,7)&amp;"*")&gt;0),1,0)</f>
        <v>1</v>
      </c>
      <c r="AG18" s="2" t="n">
        <f aca="false">INDEX(MoPriority,7)*1000+7</f>
        <v>6007</v>
      </c>
      <c r="AH18" s="2" t="n">
        <f aca="false">IF($AF18=0,"",SUMIFS(MoMin,$AF$12:$AF$54,1,$AG$12:$AG$54,"&lt;="&amp;$AG18))</f>
        <v>76</v>
      </c>
      <c r="AI18" s="2" t="n">
        <f aca="false">IF(AND($AF18=1,$AH18&lt;=$B$7),1,0)</f>
        <v>0</v>
      </c>
      <c r="AJ18" s="2" t="n">
        <f aca="false">INDEX(MoTypeN,7)*1000+7</f>
        <v>5007</v>
      </c>
      <c r="AK18" s="2" t="str">
        <f aca="false">IF($AI18=0,"",COUNTIFS($AI$12:$AI$54,1,$AJ$12:$AJ$54,"&lt;"&amp;$AJ18)+1)</f>
        <v/>
      </c>
    </row>
    <row r="19" customFormat="false" ht="24" hidden="false" customHeight="true" outlineLevel="0" collapsed="false">
      <c r="A19" s="35" t="n">
        <v>8</v>
      </c>
      <c r="B19" s="36" t="str">
        <f aca="false">IFERROR(INDEX(WuName,MATCH(8,$AD$12:$AD$60,0)),"")</f>
        <v/>
      </c>
      <c r="C19" s="36" t="str">
        <f aca="false">IF($B19="","",INDEX(WuPhase,MATCH(8,$AD$12:$AD$60,0)))</f>
        <v/>
      </c>
      <c r="D19" s="36" t="str">
        <f aca="false">IF($B19="","",INDEX(WuTrigger,MATCH(8,$AD$12:$AD$60,0)))</f>
        <v/>
      </c>
      <c r="E19" s="35" t="str">
        <f aca="false">IF($B19="","",INDEX(WuMin,MATCH(8,$AD$12:$AD$60,0)))</f>
        <v/>
      </c>
      <c r="F19" s="37" t="str">
        <f aca="false">IF($B19="","",INDEX(WuHow,MATCH(8,$AD$12:$AD$60,0)))</f>
        <v/>
      </c>
      <c r="G19" s="37"/>
      <c r="H19" s="37"/>
      <c r="I19" s="37"/>
      <c r="J19" s="37"/>
      <c r="K19" s="37"/>
      <c r="L19" s="37"/>
      <c r="M19" s="37"/>
      <c r="N19" s="2"/>
      <c r="O19" s="2"/>
      <c r="P19" s="2"/>
      <c r="Q19" s="2"/>
      <c r="R19" s="2"/>
      <c r="S19" s="2"/>
      <c r="T19" s="2"/>
      <c r="U19" s="2"/>
      <c r="V19" s="2"/>
      <c r="W19" s="2"/>
      <c r="X19" s="2"/>
      <c r="Y19" s="2" t="n">
        <f aca="false">IF(OR(INDEX(WuTrigger,8)="Always",COUNTIF($D$30:$D$51,INDEX(WuTrigger,8))&gt;0,COUNTIF($E$30:$E$51,INDEX(WuTrigger,8))&gt;0),1,0)</f>
        <v>1</v>
      </c>
      <c r="Z19" s="2" t="n">
        <f aca="false">INDEX(WuPriority,8)*1000+8</f>
        <v>4008</v>
      </c>
      <c r="AA19" s="2" t="n">
        <f aca="false">IF($Y19=0,"",SUMIFS(WuMin,$Y$12:$Y$60,1,$Z$12:$Z$60,"&lt;="&amp;$Z19))</f>
        <v>18</v>
      </c>
      <c r="AB19" s="2" t="n">
        <f aca="false">IF(AND($Y19=1,$AA19&lt;=$B$6),1,0)</f>
        <v>0</v>
      </c>
      <c r="AC19" s="2" t="n">
        <f aca="false">INDEX(WuPhaseN,8)*1000+8</f>
        <v>3008</v>
      </c>
      <c r="AD19" s="2" t="str">
        <f aca="false">IF($AB19=0,"",COUNTIFS($AB$12:$AB$60,1,$AC$12:$AC$60,"&lt;"&amp;$AC19)+1)</f>
        <v/>
      </c>
      <c r="AE19" s="2"/>
      <c r="AF19" s="2" t="n">
        <f aca="false">IF(OR(INDEX(MoTarget,8)="Always",COUNTIF($E$30:$E$51,INDEX(MoTarget,8))&gt;0,COUNTIF($F$30:$F$51,"*"&amp;INDEX(MoTarget,8)&amp;"*")&gt;0),1,0)</f>
        <v>1</v>
      </c>
      <c r="AG19" s="2" t="n">
        <f aca="false">INDEX(MoPriority,8)*1000+8</f>
        <v>2008</v>
      </c>
      <c r="AH19" s="2" t="n">
        <f aca="false">IF($AF19=0,"",SUMIFS(MoMin,$AF$12:$AF$54,1,$AG$12:$AG$54,"&lt;="&amp;$AG19))</f>
        <v>7</v>
      </c>
      <c r="AI19" s="2" t="n">
        <f aca="false">IF(AND($AF19=1,$AH19&lt;=$B$7),1,0)</f>
        <v>1</v>
      </c>
      <c r="AJ19" s="2" t="n">
        <f aca="false">INDEX(MoTypeN,8)*1000+8</f>
        <v>2008</v>
      </c>
      <c r="AK19" s="2" t="n">
        <f aca="false">IF($AI19=0,"",COUNTIFS($AI$12:$AI$54,1,$AJ$12:$AJ$54,"&lt;"&amp;$AJ19)+1)</f>
        <v>3</v>
      </c>
    </row>
    <row r="20" customFormat="false" ht="24" hidden="false" customHeight="true" outlineLevel="0" collapsed="false">
      <c r="A20" s="35" t="n">
        <v>9</v>
      </c>
      <c r="B20" s="36" t="str">
        <f aca="false">IFERROR(INDEX(WuName,MATCH(9,$AD$12:$AD$60,0)),"")</f>
        <v/>
      </c>
      <c r="C20" s="36" t="str">
        <f aca="false">IF($B20="","",INDEX(WuPhase,MATCH(9,$AD$12:$AD$60,0)))</f>
        <v/>
      </c>
      <c r="D20" s="36" t="str">
        <f aca="false">IF($B20="","",INDEX(WuTrigger,MATCH(9,$AD$12:$AD$60,0)))</f>
        <v/>
      </c>
      <c r="E20" s="35" t="str">
        <f aca="false">IF($B20="","",INDEX(WuMin,MATCH(9,$AD$12:$AD$60,0)))</f>
        <v/>
      </c>
      <c r="F20" s="37" t="str">
        <f aca="false">IF($B20="","",INDEX(WuHow,MATCH(9,$AD$12:$AD$60,0)))</f>
        <v/>
      </c>
      <c r="G20" s="37"/>
      <c r="H20" s="37"/>
      <c r="I20" s="37"/>
      <c r="J20" s="37"/>
      <c r="K20" s="37"/>
      <c r="L20" s="37"/>
      <c r="M20" s="37"/>
      <c r="N20" s="2"/>
      <c r="O20" s="2"/>
      <c r="P20" s="2"/>
      <c r="Q20" s="2"/>
      <c r="R20" s="2"/>
      <c r="S20" s="2"/>
      <c r="T20" s="2"/>
      <c r="U20" s="2"/>
      <c r="V20" s="2"/>
      <c r="W20" s="2"/>
      <c r="X20" s="2"/>
      <c r="Y20" s="2" t="n">
        <f aca="false">IF(OR(INDEX(WuTrigger,9)="Always",COUNTIF($D$30:$D$51,INDEX(WuTrigger,9))&gt;0,COUNTIF($E$30:$E$51,INDEX(WuTrigger,9))&gt;0),1,0)</f>
        <v>1</v>
      </c>
      <c r="Z20" s="2" t="n">
        <f aca="false">INDEX(WuPriority,9)*1000+9</f>
        <v>5009</v>
      </c>
      <c r="AA20" s="2" t="n">
        <f aca="false">IF($Y20=0,"",SUMIFS(WuMin,$Y$12:$Y$60,1,$Z$12:$Z$60,"&lt;="&amp;$Z20))</f>
        <v>34</v>
      </c>
      <c r="AB20" s="2" t="n">
        <f aca="false">IF(AND($Y20=1,$AA20&lt;=$B$6),1,0)</f>
        <v>0</v>
      </c>
      <c r="AC20" s="2" t="n">
        <f aca="false">INDEX(WuPhaseN,9)*1000+9</f>
        <v>2009</v>
      </c>
      <c r="AD20" s="2" t="str">
        <f aca="false">IF($AB20=0,"",COUNTIFS($AB$12:$AB$60,1,$AC$12:$AC$60,"&lt;"&amp;$AC20)+1)</f>
        <v/>
      </c>
      <c r="AE20" s="2"/>
      <c r="AF20" s="2" t="n">
        <f aca="false">IF(OR(INDEX(MoTarget,9)="Always",COUNTIF($E$30:$E$51,INDEX(MoTarget,9))&gt;0,COUNTIF($F$30:$F$51,"*"&amp;INDEX(MoTarget,9)&amp;"*")&gt;0),1,0)</f>
        <v>1</v>
      </c>
      <c r="AG20" s="2" t="n">
        <f aca="false">INDEX(MoPriority,9)*1000+9</f>
        <v>2009</v>
      </c>
      <c r="AH20" s="2" t="n">
        <f aca="false">IF($AF20=0,"",SUMIFS(MoMin,$AF$12:$AF$54,1,$AG$12:$AG$54,"&lt;="&amp;$AG20))</f>
        <v>9</v>
      </c>
      <c r="AI20" s="2" t="n">
        <f aca="false">IF(AND($AF20=1,$AH20&lt;=$B$7),1,0)</f>
        <v>0</v>
      </c>
      <c r="AJ20" s="2" t="n">
        <f aca="false">INDEX(MoTypeN,9)*1000+9</f>
        <v>2009</v>
      </c>
      <c r="AK20" s="2" t="str">
        <f aca="false">IF($AI20=0,"",COUNTIFS($AI$12:$AI$54,1,$AJ$12:$AJ$54,"&lt;"&amp;$AJ20)+1)</f>
        <v/>
      </c>
    </row>
    <row r="21" customFormat="false" ht="24" hidden="false" customHeight="true" outlineLevel="0" collapsed="false">
      <c r="A21" s="35" t="n">
        <v>10</v>
      </c>
      <c r="B21" s="36" t="str">
        <f aca="false">IFERROR(INDEX(WuName,MATCH(10,$AD$12:$AD$60,0)),"")</f>
        <v/>
      </c>
      <c r="C21" s="36" t="str">
        <f aca="false">IF($B21="","",INDEX(WuPhase,MATCH(10,$AD$12:$AD$60,0)))</f>
        <v/>
      </c>
      <c r="D21" s="36" t="str">
        <f aca="false">IF($B21="","",INDEX(WuTrigger,MATCH(10,$AD$12:$AD$60,0)))</f>
        <v/>
      </c>
      <c r="E21" s="35" t="str">
        <f aca="false">IF($B21="","",INDEX(WuMin,MATCH(10,$AD$12:$AD$60,0)))</f>
        <v/>
      </c>
      <c r="F21" s="37" t="str">
        <f aca="false">IF($B21="","",INDEX(WuHow,MATCH(10,$AD$12:$AD$60,0)))</f>
        <v/>
      </c>
      <c r="G21" s="37"/>
      <c r="H21" s="37"/>
      <c r="I21" s="37"/>
      <c r="J21" s="37"/>
      <c r="K21" s="37"/>
      <c r="L21" s="37"/>
      <c r="M21" s="37"/>
      <c r="N21" s="2"/>
      <c r="O21" s="2"/>
      <c r="P21" s="2"/>
      <c r="Q21" s="2"/>
      <c r="R21" s="2"/>
      <c r="S21" s="2"/>
      <c r="T21" s="2"/>
      <c r="U21" s="2"/>
      <c r="V21" s="2"/>
      <c r="W21" s="2"/>
      <c r="X21" s="2"/>
      <c r="Y21" s="2" t="n">
        <f aca="false">IF(OR(INDEX(WuTrigger,10)="Always",COUNTIF($D$30:$D$51,INDEX(WuTrigger,10))&gt;0,COUNTIF($E$30:$E$51,INDEX(WuTrigger,10))&gt;0),1,0)</f>
        <v>1</v>
      </c>
      <c r="Z21" s="2" t="n">
        <f aca="false">INDEX(WuPriority,10)*1000+10</f>
        <v>3010</v>
      </c>
      <c r="AA21" s="2" t="n">
        <f aca="false">IF($Y21=0,"",SUMIFS(WuMin,$Y$12:$Y$60,1,$Z$12:$Z$60,"&lt;="&amp;$Z21))</f>
        <v>13</v>
      </c>
      <c r="AB21" s="2" t="n">
        <f aca="false">IF(AND($Y21=1,$AA21&lt;=$B$6),1,0)</f>
        <v>1</v>
      </c>
      <c r="AC21" s="2" t="n">
        <f aca="false">INDEX(WuPhaseN,10)*1000+10</f>
        <v>3010</v>
      </c>
      <c r="AD21" s="2" t="n">
        <f aca="false">IF($AB21=0,"",COUNTIFS($AB$12:$AB$60,1,$AC$12:$AC$60,"&lt;"&amp;$AC21)+1)</f>
        <v>3</v>
      </c>
      <c r="AE21" s="2"/>
      <c r="AF21" s="2" t="n">
        <f aca="false">IF(OR(INDEX(MoTarget,10)="Always",COUNTIF($E$30:$E$51,INDEX(MoTarget,10))&gt;0,COUNTIF($F$30:$F$51,"*"&amp;INDEX(MoTarget,10)&amp;"*")&gt;0),1,0)</f>
        <v>1</v>
      </c>
      <c r="AG21" s="2" t="n">
        <f aca="false">INDEX(MoPriority,10)*1000+10</f>
        <v>4010</v>
      </c>
      <c r="AH21" s="2" t="n">
        <f aca="false">IF($AF21=0,"",SUMIFS(MoMin,$AF$12:$AF$54,1,$AG$12:$AG$54,"&lt;="&amp;$AG21))</f>
        <v>54</v>
      </c>
      <c r="AI21" s="2" t="n">
        <f aca="false">IF(AND($AF21=1,$AH21&lt;=$B$7),1,0)</f>
        <v>0</v>
      </c>
      <c r="AJ21" s="2" t="n">
        <f aca="false">INDEX(MoTypeN,10)*1000+10</f>
        <v>2010</v>
      </c>
      <c r="AK21" s="2" t="str">
        <f aca="false">IF($AI21=0,"",COUNTIFS($AI$12:$AI$54,1,$AJ$12:$AJ$54,"&lt;"&amp;$AJ21)+1)</f>
        <v/>
      </c>
    </row>
    <row r="22" customFormat="false" ht="24" hidden="false" customHeight="true" outlineLevel="0" collapsed="false">
      <c r="A22" s="35" t="n">
        <v>11</v>
      </c>
      <c r="B22" s="36" t="str">
        <f aca="false">IFERROR(INDEX(WuName,MATCH(11,$AD$12:$AD$60,0)),"")</f>
        <v/>
      </c>
      <c r="C22" s="36" t="str">
        <f aca="false">IF($B22="","",INDEX(WuPhase,MATCH(11,$AD$12:$AD$60,0)))</f>
        <v/>
      </c>
      <c r="D22" s="36" t="str">
        <f aca="false">IF($B22="","",INDEX(WuTrigger,MATCH(11,$AD$12:$AD$60,0)))</f>
        <v/>
      </c>
      <c r="E22" s="35" t="str">
        <f aca="false">IF($B22="","",INDEX(WuMin,MATCH(11,$AD$12:$AD$60,0)))</f>
        <v/>
      </c>
      <c r="F22" s="37" t="str">
        <f aca="false">IF($B22="","",INDEX(WuHow,MATCH(11,$AD$12:$AD$60,0)))</f>
        <v/>
      </c>
      <c r="G22" s="37"/>
      <c r="H22" s="37"/>
      <c r="I22" s="37"/>
      <c r="J22" s="37"/>
      <c r="K22" s="37"/>
      <c r="L22" s="37"/>
      <c r="M22" s="37"/>
      <c r="N22" s="2"/>
      <c r="O22" s="2"/>
      <c r="P22" s="2"/>
      <c r="Q22" s="2"/>
      <c r="R22" s="2"/>
      <c r="S22" s="2"/>
      <c r="T22" s="2"/>
      <c r="U22" s="2"/>
      <c r="V22" s="2"/>
      <c r="W22" s="2"/>
      <c r="X22" s="2"/>
      <c r="Y22" s="2" t="n">
        <f aca="false">IF(OR(INDEX(WuTrigger,11)="Always",COUNTIF($D$30:$D$51,INDEX(WuTrigger,11))&gt;0,COUNTIF($E$30:$E$51,INDEX(WuTrigger,11))&gt;0),1,0)</f>
        <v>1</v>
      </c>
      <c r="Z22" s="2" t="n">
        <f aca="false">INDEX(WuPriority,11)*1000+11</f>
        <v>4011</v>
      </c>
      <c r="AA22" s="2" t="n">
        <f aca="false">IF($Y22=0,"",SUMIFS(WuMin,$Y$12:$Y$60,1,$Z$12:$Z$60,"&lt;="&amp;$Z22))</f>
        <v>20</v>
      </c>
      <c r="AB22" s="2" t="n">
        <f aca="false">IF(AND($Y22=1,$AA22&lt;=$B$6),1,0)</f>
        <v>0</v>
      </c>
      <c r="AC22" s="2" t="n">
        <f aca="false">INDEX(WuPhaseN,11)*1000+11</f>
        <v>3011</v>
      </c>
      <c r="AD22" s="2" t="str">
        <f aca="false">IF($AB22=0,"",COUNTIFS($AB$12:$AB$60,1,$AC$12:$AC$60,"&lt;"&amp;$AC22)+1)</f>
        <v/>
      </c>
      <c r="AE22" s="2"/>
      <c r="AF22" s="2" t="n">
        <f aca="false">IF(OR(INDEX(MoTarget,11)="Always",COUNTIF($E$30:$E$51,INDEX(MoTarget,11))&gt;0,COUNTIF($F$30:$F$51,"*"&amp;INDEX(MoTarget,11)&amp;"*")&gt;0),1,0)</f>
        <v>1</v>
      </c>
      <c r="AG22" s="2" t="n">
        <f aca="false">INDEX(MoPriority,11)*1000+11</f>
        <v>3011</v>
      </c>
      <c r="AH22" s="2" t="n">
        <f aca="false">IF($AF22=0,"",SUMIFS(MoMin,$AF$12:$AF$54,1,$AG$12:$AG$54,"&lt;="&amp;$AG22))</f>
        <v>32</v>
      </c>
      <c r="AI22" s="2" t="n">
        <f aca="false">IF(AND($AF22=1,$AH22&lt;=$B$7),1,0)</f>
        <v>0</v>
      </c>
      <c r="AJ22" s="2" t="n">
        <f aca="false">INDEX(MoTypeN,11)*1000+11</f>
        <v>2011</v>
      </c>
      <c r="AK22" s="2" t="str">
        <f aca="false">IF($AI22=0,"",COUNTIFS($AI$12:$AI$54,1,$AJ$12:$AJ$54,"&lt;"&amp;$AJ22)+1)</f>
        <v/>
      </c>
    </row>
    <row r="23" customFormat="false" ht="24" hidden="false" customHeight="true" outlineLevel="0" collapsed="false">
      <c r="A23" s="35" t="n">
        <v>12</v>
      </c>
      <c r="B23" s="36" t="str">
        <f aca="false">IFERROR(INDEX(WuName,MATCH(12,$AD$12:$AD$60,0)),"")</f>
        <v/>
      </c>
      <c r="C23" s="36" t="str">
        <f aca="false">IF($B23="","",INDEX(WuPhase,MATCH(12,$AD$12:$AD$60,0)))</f>
        <v/>
      </c>
      <c r="D23" s="36" t="str">
        <f aca="false">IF($B23="","",INDEX(WuTrigger,MATCH(12,$AD$12:$AD$60,0)))</f>
        <v/>
      </c>
      <c r="E23" s="35" t="str">
        <f aca="false">IF($B23="","",INDEX(WuMin,MATCH(12,$AD$12:$AD$60,0)))</f>
        <v/>
      </c>
      <c r="F23" s="37" t="str">
        <f aca="false">IF($B23="","",INDEX(WuHow,MATCH(12,$AD$12:$AD$60,0)))</f>
        <v/>
      </c>
      <c r="G23" s="37"/>
      <c r="H23" s="37"/>
      <c r="I23" s="37"/>
      <c r="J23" s="37"/>
      <c r="K23" s="37"/>
      <c r="L23" s="37"/>
      <c r="M23" s="37"/>
      <c r="N23" s="2"/>
      <c r="O23" s="2"/>
      <c r="P23" s="2"/>
      <c r="Q23" s="2"/>
      <c r="R23" s="2"/>
      <c r="S23" s="2"/>
      <c r="T23" s="2"/>
      <c r="U23" s="2"/>
      <c r="V23" s="2"/>
      <c r="W23" s="2"/>
      <c r="X23" s="2"/>
      <c r="Y23" s="2" t="n">
        <f aca="false">IF(OR(INDEX(WuTrigger,12)="Always",COUNTIF($D$30:$D$51,INDEX(WuTrigger,12))&gt;0,COUNTIF($E$30:$E$51,INDEX(WuTrigger,12))&gt;0),1,0)</f>
        <v>1</v>
      </c>
      <c r="Z23" s="2" t="n">
        <f aca="false">INDEX(WuPriority,12)*1000+12</f>
        <v>6012</v>
      </c>
      <c r="AA23" s="2" t="n">
        <f aca="false">IF($Y23=0,"",SUMIFS(WuMin,$Y$12:$Y$60,1,$Z$12:$Z$60,"&lt;="&amp;$Z23))</f>
        <v>43</v>
      </c>
      <c r="AB23" s="2" t="n">
        <f aca="false">IF(AND($Y23=1,$AA23&lt;=$B$6),1,0)</f>
        <v>0</v>
      </c>
      <c r="AC23" s="2" t="n">
        <f aca="false">INDEX(WuPhaseN,12)*1000+12</f>
        <v>2012</v>
      </c>
      <c r="AD23" s="2" t="str">
        <f aca="false">IF($AB23=0,"",COUNTIFS($AB$12:$AB$60,1,$AC$12:$AC$60,"&lt;"&amp;$AC23)+1)</f>
        <v/>
      </c>
      <c r="AE23" s="2"/>
      <c r="AF23" s="2" t="n">
        <f aca="false">IF(OR(INDEX(MoTarget,12)="Always",COUNTIF($E$30:$E$51,INDEX(MoTarget,12))&gt;0,COUNTIF($F$30:$F$51,"*"&amp;INDEX(MoTarget,12)&amp;"*")&gt;0),1,0)</f>
        <v>1</v>
      </c>
      <c r="AG23" s="2" t="n">
        <f aca="false">INDEX(MoPriority,12)*1000+12</f>
        <v>2012</v>
      </c>
      <c r="AH23" s="2" t="n">
        <f aca="false">IF($AF23=0,"",SUMIFS(MoMin,$AF$12:$AF$54,1,$AG$12:$AG$54,"&lt;="&amp;$AG23))</f>
        <v>11</v>
      </c>
      <c r="AI23" s="2" t="n">
        <f aca="false">IF(AND($AF23=1,$AH23&lt;=$B$7),1,0)</f>
        <v>0</v>
      </c>
      <c r="AJ23" s="2" t="n">
        <f aca="false">INDEX(MoTypeN,12)*1000+12</f>
        <v>2012</v>
      </c>
      <c r="AK23" s="2" t="str">
        <f aca="false">IF($AI23=0,"",COUNTIFS($AI$12:$AI$54,1,$AJ$12:$AJ$54,"&lt;"&amp;$AJ23)+1)</f>
        <v/>
      </c>
    </row>
    <row r="24" customFormat="false" ht="24" hidden="false" customHeight="true" outlineLevel="0" collapsed="false">
      <c r="A24" s="35" t="n">
        <v>13</v>
      </c>
      <c r="B24" s="36" t="str">
        <f aca="false">IFERROR(INDEX(WuName,MATCH(13,$AD$12:$AD$60,0)),"")</f>
        <v/>
      </c>
      <c r="C24" s="36" t="str">
        <f aca="false">IF($B24="","",INDEX(WuPhase,MATCH(13,$AD$12:$AD$60,0)))</f>
        <v/>
      </c>
      <c r="D24" s="36" t="str">
        <f aca="false">IF($B24="","",INDEX(WuTrigger,MATCH(13,$AD$12:$AD$60,0)))</f>
        <v/>
      </c>
      <c r="E24" s="35" t="str">
        <f aca="false">IF($B24="","",INDEX(WuMin,MATCH(13,$AD$12:$AD$60,0)))</f>
        <v/>
      </c>
      <c r="F24" s="37" t="str">
        <f aca="false">IF($B24="","",INDEX(WuHow,MATCH(13,$AD$12:$AD$60,0)))</f>
        <v/>
      </c>
      <c r="G24" s="37"/>
      <c r="H24" s="37"/>
      <c r="I24" s="37"/>
      <c r="J24" s="37"/>
      <c r="K24" s="37"/>
      <c r="L24" s="37"/>
      <c r="M24" s="37"/>
      <c r="N24" s="2"/>
      <c r="O24" s="2"/>
      <c r="P24" s="2"/>
      <c r="Q24" s="2"/>
      <c r="R24" s="2"/>
      <c r="S24" s="2"/>
      <c r="T24" s="2"/>
      <c r="U24" s="2"/>
      <c r="V24" s="2"/>
      <c r="W24" s="2"/>
      <c r="X24" s="2"/>
      <c r="Y24" s="2" t="n">
        <f aca="false">IF(OR(INDEX(WuTrigger,13)="Always",COUNTIF($D$30:$D$51,INDEX(WuTrigger,13))&gt;0,COUNTIF($E$30:$E$51,INDEX(WuTrigger,13))&gt;0),1,0)</f>
        <v>1</v>
      </c>
      <c r="Z24" s="2" t="n">
        <f aca="false">INDEX(WuPriority,13)*1000+13</f>
        <v>5013</v>
      </c>
      <c r="AA24" s="2" t="n">
        <f aca="false">IF($Y24=0,"",SUMIFS(WuMin,$Y$12:$Y$60,1,$Z$12:$Z$60,"&lt;="&amp;$Z24))</f>
        <v>36</v>
      </c>
      <c r="AB24" s="2" t="n">
        <f aca="false">IF(AND($Y24=1,$AA24&lt;=$B$6),1,0)</f>
        <v>0</v>
      </c>
      <c r="AC24" s="2" t="n">
        <f aca="false">INDEX(WuPhaseN,13)*1000+13</f>
        <v>2013</v>
      </c>
      <c r="AD24" s="2" t="str">
        <f aca="false">IF($AB24=0,"",COUNTIFS($AB$12:$AB$60,1,$AC$12:$AC$60,"&lt;"&amp;$AC24)+1)</f>
        <v/>
      </c>
      <c r="AE24" s="2"/>
      <c r="AF24" s="2" t="n">
        <f aca="false">IF(OR(INDEX(MoTarget,13)="Always",COUNTIF($E$30:$E$51,INDEX(MoTarget,13))&gt;0,COUNTIF($F$30:$F$51,"*"&amp;INDEX(MoTarget,13)&amp;"*")&gt;0),1,0)</f>
        <v>1</v>
      </c>
      <c r="AG24" s="2" t="n">
        <f aca="false">INDEX(MoPriority,13)*1000+13</f>
        <v>3013</v>
      </c>
      <c r="AH24" s="2" t="n">
        <f aca="false">IF($AF24=0,"",SUMIFS(MoMin,$AF$12:$AF$54,1,$AG$12:$AG$54,"&lt;="&amp;$AG24))</f>
        <v>35</v>
      </c>
      <c r="AI24" s="2" t="n">
        <f aca="false">IF(AND($AF24=1,$AH24&lt;=$B$7),1,0)</f>
        <v>0</v>
      </c>
      <c r="AJ24" s="2" t="n">
        <f aca="false">INDEX(MoTypeN,13)*1000+13</f>
        <v>2013</v>
      </c>
      <c r="AK24" s="2" t="str">
        <f aca="false">IF($AI24=0,"",COUNTIFS($AI$12:$AI$54,1,$AJ$12:$AJ$54,"&lt;"&amp;$AJ24)+1)</f>
        <v/>
      </c>
    </row>
    <row r="25" customFormat="false" ht="24" hidden="false" customHeight="true" outlineLevel="0" collapsed="false">
      <c r="A25" s="35" t="n">
        <v>14</v>
      </c>
      <c r="B25" s="36" t="str">
        <f aca="false">IFERROR(INDEX(WuName,MATCH(14,$AD$12:$AD$60,0)),"")</f>
        <v/>
      </c>
      <c r="C25" s="36" t="str">
        <f aca="false">IF($B25="","",INDEX(WuPhase,MATCH(14,$AD$12:$AD$60,0)))</f>
        <v/>
      </c>
      <c r="D25" s="36" t="str">
        <f aca="false">IF($B25="","",INDEX(WuTrigger,MATCH(14,$AD$12:$AD$60,0)))</f>
        <v/>
      </c>
      <c r="E25" s="35" t="str">
        <f aca="false">IF($B25="","",INDEX(WuMin,MATCH(14,$AD$12:$AD$60,0)))</f>
        <v/>
      </c>
      <c r="F25" s="37" t="str">
        <f aca="false">IF($B25="","",INDEX(WuHow,MATCH(14,$AD$12:$AD$60,0)))</f>
        <v/>
      </c>
      <c r="G25" s="37"/>
      <c r="H25" s="37"/>
      <c r="I25" s="37"/>
      <c r="J25" s="37"/>
      <c r="K25" s="37"/>
      <c r="L25" s="37"/>
      <c r="M25" s="37"/>
      <c r="N25" s="2"/>
      <c r="O25" s="2"/>
      <c r="P25" s="2"/>
      <c r="Q25" s="2"/>
      <c r="R25" s="2"/>
      <c r="S25" s="2"/>
      <c r="T25" s="2"/>
      <c r="U25" s="2"/>
      <c r="V25" s="2"/>
      <c r="W25" s="2"/>
      <c r="X25" s="2"/>
      <c r="Y25" s="2" t="n">
        <f aca="false">IF(OR(INDEX(WuTrigger,14)="Always",COUNTIF($D$30:$D$51,INDEX(WuTrigger,14))&gt;0,COUNTIF($E$30:$E$51,INDEX(WuTrigger,14))&gt;0),1,0)</f>
        <v>1</v>
      </c>
      <c r="Z25" s="2" t="n">
        <f aca="false">INDEX(WuPriority,14)*1000+14</f>
        <v>4014</v>
      </c>
      <c r="AA25" s="2" t="n">
        <f aca="false">IF($Y25=0,"",SUMIFS(WuMin,$Y$12:$Y$60,1,$Z$12:$Z$60,"&lt;="&amp;$Z25))</f>
        <v>22</v>
      </c>
      <c r="AB25" s="2" t="n">
        <f aca="false">IF(AND($Y25=1,$AA25&lt;=$B$6),1,0)</f>
        <v>0</v>
      </c>
      <c r="AC25" s="2" t="n">
        <f aca="false">INDEX(WuPhaseN,14)*1000+14</f>
        <v>3014</v>
      </c>
      <c r="AD25" s="2" t="str">
        <f aca="false">IF($AB25=0,"",COUNTIFS($AB$12:$AB$60,1,$AC$12:$AC$60,"&lt;"&amp;$AC25)+1)</f>
        <v/>
      </c>
      <c r="AE25" s="2"/>
      <c r="AF25" s="2" t="n">
        <f aca="false">IF(OR(INDEX(MoTarget,14)="Always",COUNTIF($E$30:$E$51,INDEX(MoTarget,14))&gt;0,COUNTIF($F$30:$F$51,"*"&amp;INDEX(MoTarget,14)&amp;"*")&gt;0),1,0)</f>
        <v>1</v>
      </c>
      <c r="AG25" s="2" t="n">
        <f aca="false">INDEX(MoPriority,14)*1000+14</f>
        <v>4014</v>
      </c>
      <c r="AH25" s="2" t="n">
        <f aca="false">IF($AF25=0,"",SUMIFS(MoMin,$AF$12:$AF$54,1,$AG$12:$AG$54,"&lt;="&amp;$AG25))</f>
        <v>56</v>
      </c>
      <c r="AI25" s="2" t="n">
        <f aca="false">IF(AND($AF25=1,$AH25&lt;=$B$7),1,0)</f>
        <v>0</v>
      </c>
      <c r="AJ25" s="2" t="n">
        <f aca="false">INDEX(MoTypeN,14)*1000+14</f>
        <v>2014</v>
      </c>
      <c r="AK25" s="2" t="str">
        <f aca="false">IF($AI25=0,"",COUNTIFS($AI$12:$AI$54,1,$AJ$12:$AJ$54,"&lt;"&amp;$AJ25)+1)</f>
        <v/>
      </c>
    </row>
    <row r="26" customFormat="false" ht="15" hidden="false" customHeight="false" outlineLevel="0" collapsed="false">
      <c r="A26" s="38" t="s">
        <v>1026</v>
      </c>
      <c r="B26" s="39"/>
      <c r="C26" s="39"/>
      <c r="D26" s="39"/>
      <c r="E26" s="40" t="n">
        <f aca="false">SUMIFS(WuMin,$AB$12:$AB$60,1)</f>
        <v>13</v>
      </c>
      <c r="F26" s="39"/>
      <c r="G26" s="39"/>
      <c r="H26" s="39"/>
      <c r="I26" s="39"/>
      <c r="J26" s="39"/>
      <c r="K26" s="39"/>
      <c r="L26" s="39"/>
      <c r="M26" s="39"/>
      <c r="N26" s="2"/>
      <c r="O26" s="2"/>
      <c r="P26" s="2"/>
      <c r="Q26" s="2"/>
      <c r="R26" s="2"/>
      <c r="S26" s="2"/>
      <c r="T26" s="2"/>
      <c r="U26" s="2"/>
      <c r="V26" s="2"/>
      <c r="W26" s="2"/>
      <c r="X26" s="2"/>
      <c r="Y26" s="2" t="n">
        <f aca="false">IF(OR(INDEX(WuTrigger,15)="Always",COUNTIF($D$30:$D$51,INDEX(WuTrigger,15))&gt;0,COUNTIF($E$30:$E$51,INDEX(WuTrigger,15))&gt;0),1,0)</f>
        <v>1</v>
      </c>
      <c r="Z26" s="2" t="n">
        <f aca="false">INDEX(WuPriority,15)*1000+15</f>
        <v>6015</v>
      </c>
      <c r="AA26" s="2" t="n">
        <f aca="false">IF($Y26=0,"",SUMIFS(WuMin,$Y$12:$Y$60,1,$Z$12:$Z$60,"&lt;="&amp;$Z26))</f>
        <v>45</v>
      </c>
      <c r="AB26" s="2" t="n">
        <f aca="false">IF(AND($Y26=1,$AA26&lt;=$B$6),1,0)</f>
        <v>0</v>
      </c>
      <c r="AC26" s="2" t="n">
        <f aca="false">INDEX(WuPhaseN,15)*1000+15</f>
        <v>3015</v>
      </c>
      <c r="AD26" s="2" t="str">
        <f aca="false">IF($AB26=0,"",COUNTIFS($AB$12:$AB$60,1,$AC$12:$AC$60,"&lt;"&amp;$AC26)+1)</f>
        <v/>
      </c>
      <c r="AE26" s="2"/>
      <c r="AF26" s="2" t="n">
        <f aca="false">IF(OR(INDEX(MoTarget,15)="Always",COUNTIF($E$30:$E$51,INDEX(MoTarget,15))&gt;0,COUNTIF($F$30:$F$51,"*"&amp;INDEX(MoTarget,15)&amp;"*")&gt;0),1,0)</f>
        <v>1</v>
      </c>
      <c r="AG26" s="2" t="n">
        <f aca="false">INDEX(MoPriority,15)*1000+15</f>
        <v>2015</v>
      </c>
      <c r="AH26" s="2" t="n">
        <f aca="false">IF($AF26=0,"",SUMIFS(MoMin,$AF$12:$AF$54,1,$AG$12:$AG$54,"&lt;="&amp;$AG26))</f>
        <v>13</v>
      </c>
      <c r="AI26" s="2" t="n">
        <f aca="false">IF(AND($AF26=1,$AH26&lt;=$B$7),1,0)</f>
        <v>0</v>
      </c>
      <c r="AJ26" s="2" t="n">
        <f aca="false">INDEX(MoTypeN,15)*1000+15</f>
        <v>2015</v>
      </c>
      <c r="AK26" s="2" t="str">
        <f aca="false">IF($AI26=0,"",COUNTIFS($AI$12:$AI$54,1,$AJ$12:$AJ$54,"&lt;"&amp;$AJ26)+1)</f>
        <v/>
      </c>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t="n">
        <f aca="false">IF(OR(INDEX(WuTrigger,16)="Always",COUNTIF($D$30:$D$51,INDEX(WuTrigger,16))&gt;0,COUNTIF($E$30:$E$51,INDEX(WuTrigger,16))&gt;0),1,0)</f>
        <v>0</v>
      </c>
      <c r="Z27" s="2" t="n">
        <f aca="false">INDEX(WuPriority,16)*1000+16</f>
        <v>3016</v>
      </c>
      <c r="AA27" s="2" t="str">
        <f aca="false">IF($Y27=0,"",SUMIFS(WuMin,$Y$12:$Y$60,1,$Z$12:$Z$60,"&lt;="&amp;$Z27))</f>
        <v/>
      </c>
      <c r="AB27" s="2" t="n">
        <f aca="false">IF(AND($Y27=1,$AA27&lt;=$B$6),1,0)</f>
        <v>0</v>
      </c>
      <c r="AC27" s="2" t="n">
        <f aca="false">INDEX(WuPhaseN,16)*1000+16</f>
        <v>3016</v>
      </c>
      <c r="AD27" s="2" t="str">
        <f aca="false">IF($AB27=0,"",COUNTIFS($AB$12:$AB$60,1,$AC$12:$AC$60,"&lt;"&amp;$AC27)+1)</f>
        <v/>
      </c>
      <c r="AE27" s="2"/>
      <c r="AF27" s="2" t="n">
        <f aca="false">IF(OR(INDEX(MoTarget,16)="Always",COUNTIF($E$30:$E$51,INDEX(MoTarget,16))&gt;0,COUNTIF($F$30:$F$51,"*"&amp;INDEX(MoTarget,16)&amp;"*")&gt;0),1,0)</f>
        <v>1</v>
      </c>
      <c r="AG27" s="2" t="n">
        <f aca="false">INDEX(MoPriority,16)*1000+16</f>
        <v>2016</v>
      </c>
      <c r="AH27" s="2" t="n">
        <f aca="false">IF($AF27=0,"",SUMIFS(MoMin,$AF$12:$AF$54,1,$AG$12:$AG$54,"&lt;="&amp;$AG27))</f>
        <v>16</v>
      </c>
      <c r="AI27" s="2" t="n">
        <f aca="false">IF(AND($AF27=1,$AH27&lt;=$B$7),1,0)</f>
        <v>0</v>
      </c>
      <c r="AJ27" s="2" t="n">
        <f aca="false">INDEX(MoTypeN,16)*1000+16</f>
        <v>2016</v>
      </c>
      <c r="AK27" s="2" t="str">
        <f aca="false">IF($AI27=0,"",COUNTIFS($AI$12:$AI$54,1,$AJ$12:$AJ$54,"&lt;"&amp;$AJ27)+1)</f>
        <v/>
      </c>
    </row>
    <row r="28" customFormat="false" ht="19.5" hidden="false" customHeight="true" outlineLevel="0" collapsed="false">
      <c r="A28" s="33" t="s">
        <v>1027</v>
      </c>
      <c r="B28" s="33"/>
      <c r="C28" s="33"/>
      <c r="D28" s="33"/>
      <c r="E28" s="33"/>
      <c r="F28" s="33"/>
      <c r="G28" s="33"/>
      <c r="H28" s="33"/>
      <c r="I28" s="33"/>
      <c r="J28" s="33"/>
      <c r="K28" s="33"/>
      <c r="L28" s="33"/>
      <c r="M28" s="33"/>
      <c r="N28" s="33"/>
      <c r="O28" s="33"/>
      <c r="P28" s="33"/>
      <c r="Q28" s="2"/>
      <c r="R28" s="2"/>
      <c r="S28" s="2"/>
      <c r="T28" s="2"/>
      <c r="U28" s="2"/>
      <c r="V28" s="2"/>
      <c r="W28" s="2"/>
      <c r="X28" s="2"/>
      <c r="Y28" s="2" t="n">
        <f aca="false">IF(OR(INDEX(WuTrigger,17)="Always",COUNTIF($D$30:$D$51,INDEX(WuTrigger,17))&gt;0,COUNTIF($E$30:$E$51,INDEX(WuTrigger,17))&gt;0),1,0)</f>
        <v>0</v>
      </c>
      <c r="Z28" s="2" t="n">
        <f aca="false">INDEX(WuPriority,17)*1000+17</f>
        <v>3017</v>
      </c>
      <c r="AA28" s="2" t="str">
        <f aca="false">IF($Y28=0,"",SUMIFS(WuMin,$Y$12:$Y$60,1,$Z$12:$Z$60,"&lt;="&amp;$Z28))</f>
        <v/>
      </c>
      <c r="AB28" s="2" t="n">
        <f aca="false">IF(AND($Y28=1,$AA28&lt;=$B$6),1,0)</f>
        <v>0</v>
      </c>
      <c r="AC28" s="2" t="n">
        <f aca="false">INDEX(WuPhaseN,17)*1000+17</f>
        <v>3017</v>
      </c>
      <c r="AD28" s="2" t="str">
        <f aca="false">IF($AB28=0,"",COUNTIFS($AB$12:$AB$60,1,$AC$12:$AC$60,"&lt;"&amp;$AC28)+1)</f>
        <v/>
      </c>
      <c r="AE28" s="2"/>
      <c r="AF28" s="2" t="n">
        <f aca="false">IF(OR(INDEX(MoTarget,17)="Always",COUNTIF($E$30:$E$51,INDEX(MoTarget,17))&gt;0,COUNTIF($F$30:$F$51,"*"&amp;INDEX(MoTarget,17)&amp;"*")&gt;0),1,0)</f>
        <v>1</v>
      </c>
      <c r="AG28" s="2" t="n">
        <f aca="false">INDEX(MoPriority,17)*1000+17</f>
        <v>4017</v>
      </c>
      <c r="AH28" s="2" t="n">
        <f aca="false">IF($AF28=0,"",SUMIFS(MoMin,$AF$12:$AF$54,1,$AG$12:$AG$54,"&lt;="&amp;$AG28))</f>
        <v>58</v>
      </c>
      <c r="AI28" s="2" t="n">
        <f aca="false">IF(AND($AF28=1,$AH28&lt;=$B$7),1,0)</f>
        <v>0</v>
      </c>
      <c r="AJ28" s="2" t="n">
        <f aca="false">INDEX(MoTypeN,17)*1000+17</f>
        <v>2017</v>
      </c>
      <c r="AK28" s="2" t="str">
        <f aca="false">IF($AI28=0,"",COUNTIFS($AI$12:$AI$54,1,$AJ$12:$AJ$54,"&lt;"&amp;$AJ28)+1)</f>
        <v/>
      </c>
    </row>
    <row r="29" customFormat="false" ht="31.5" hidden="false" customHeight="true" outlineLevel="0" collapsed="false">
      <c r="A29" s="9" t="s">
        <v>1023</v>
      </c>
      <c r="B29" s="9" t="s">
        <v>52</v>
      </c>
      <c r="C29" s="9" t="s">
        <v>54</v>
      </c>
      <c r="D29" s="9" t="s">
        <v>1028</v>
      </c>
      <c r="E29" s="9" t="s">
        <v>1029</v>
      </c>
      <c r="F29" s="9" t="s">
        <v>1030</v>
      </c>
      <c r="G29" s="9" t="s">
        <v>1031</v>
      </c>
      <c r="H29" s="9" t="s">
        <v>927</v>
      </c>
      <c r="I29" s="9" t="s">
        <v>928</v>
      </c>
      <c r="J29" s="9" t="s">
        <v>929</v>
      </c>
      <c r="K29" s="9" t="s">
        <v>1032</v>
      </c>
      <c r="L29" s="9" t="s">
        <v>932</v>
      </c>
      <c r="M29" s="9" t="s">
        <v>933</v>
      </c>
      <c r="N29" s="9" t="s">
        <v>1033</v>
      </c>
      <c r="O29" s="9" t="s">
        <v>1034</v>
      </c>
      <c r="P29" s="9" t="s">
        <v>1035</v>
      </c>
      <c r="Q29" s="2"/>
      <c r="R29" s="2"/>
      <c r="S29" s="2"/>
      <c r="T29" s="2"/>
      <c r="U29" s="2"/>
      <c r="V29" s="2"/>
      <c r="W29" s="2"/>
      <c r="X29" s="2"/>
      <c r="Y29" s="2" t="n">
        <f aca="false">IF(OR(INDEX(WuTrigger,18)="Always",COUNTIF($D$30:$D$51,INDEX(WuTrigger,18))&gt;0,COUNTIF($E$30:$E$51,INDEX(WuTrigger,18))&gt;0),1,0)</f>
        <v>0</v>
      </c>
      <c r="Z29" s="2" t="n">
        <f aca="false">INDEX(WuPriority,18)*1000+18</f>
        <v>6018</v>
      </c>
      <c r="AA29" s="2" t="str">
        <f aca="false">IF($Y29=0,"",SUMIFS(WuMin,$Y$12:$Y$60,1,$Z$12:$Z$60,"&lt;="&amp;$Z29))</f>
        <v/>
      </c>
      <c r="AB29" s="2" t="n">
        <f aca="false">IF(AND($Y29=1,$AA29&lt;=$B$6),1,0)</f>
        <v>0</v>
      </c>
      <c r="AC29" s="2" t="n">
        <f aca="false">INDEX(WuPhaseN,18)*1000+18</f>
        <v>2018</v>
      </c>
      <c r="AD29" s="2" t="str">
        <f aca="false">IF($AB29=0,"",COUNTIFS($AB$12:$AB$60,1,$AC$12:$AC$60,"&lt;"&amp;$AC29)+1)</f>
        <v/>
      </c>
      <c r="AE29" s="2"/>
      <c r="AF29" s="2" t="n">
        <f aca="false">IF(OR(INDEX(MoTarget,18)="Always",COUNTIF($E$30:$E$51,INDEX(MoTarget,18))&gt;0,COUNTIF($F$30:$F$51,"*"&amp;INDEX(MoTarget,18)&amp;"*")&gt;0),1,0)</f>
        <v>0</v>
      </c>
      <c r="AG29" s="2" t="n">
        <f aca="false">INDEX(MoPriority,18)*1000+18</f>
        <v>2018</v>
      </c>
      <c r="AH29" s="2" t="str">
        <f aca="false">IF($AF29=0,"",SUMIFS(MoMin,$AF$12:$AF$54,1,$AG$12:$AG$54,"&lt;="&amp;$AG29))</f>
        <v/>
      </c>
      <c r="AI29" s="2" t="n">
        <f aca="false">IF(AND($AF29=1,$AH29&lt;=$B$7),1,0)</f>
        <v>0</v>
      </c>
      <c r="AJ29" s="2" t="n">
        <f aca="false">INDEX(MoTypeN,18)*1000+18</f>
        <v>2018</v>
      </c>
      <c r="AK29" s="2" t="str">
        <f aca="false">IF($AI29=0,"",COUNTIFS($AI$12:$AI$54,1,$AJ$12:$AJ$54,"&lt;"&amp;$AJ29)+1)</f>
        <v/>
      </c>
    </row>
    <row r="30" customFormat="false" ht="30" hidden="false" customHeight="true" outlineLevel="0" collapsed="false">
      <c r="A30" s="19" t="n">
        <v>1</v>
      </c>
      <c r="B30" s="41" t="s">
        <v>61</v>
      </c>
      <c r="C30" s="42" t="str">
        <f aca="false">IF($B30="","",IFERROR(INDEX(ExEquip,MATCH($B30,ExName,0)),"?"))</f>
        <v>Barbell</v>
      </c>
      <c r="D30" s="42" t="str">
        <f aca="false">IF($B30="","",IFERROR(INDEX(ExPattern,MATCH($B30,ExName,0)),"?"))</f>
        <v>Squat</v>
      </c>
      <c r="E30" s="42" t="str">
        <f aca="false">IF($B30="","",IFERROR(INDEX(ExPrimary,MATCH($B30,ExName,0)),"?"))</f>
        <v>Quads</v>
      </c>
      <c r="F30" s="43" t="str">
        <f aca="false">IF($B30="","",IFERROR(INDEX(ExSecondary,MATCH($B30,ExName,0)),""))</f>
        <v>Glutes, Hamstrings, Core</v>
      </c>
      <c r="G30" s="42" t="str">
        <f aca="false">IF($B30="","",IFERROR(INDEX(ExProfile,MATCH($B30,ExName,0)),"?"))</f>
        <v>Heavy compound</v>
      </c>
      <c r="H30" s="35" t="str">
        <f aca="false">IF($G30="","",IFERROR(INDEX(PrSets,MATCH($G30&amp;"|"&amp;$B$5,PrKey,0)),"?"))</f>
        <v>3–5</v>
      </c>
      <c r="I30" s="35" t="str">
        <f aca="false">IF($G30="","",IFERROR(INDEX(PrReps,MATCH($G30&amp;"|"&amp;$B$5,PrKey,0)),"?"))</f>
        <v>3–6</v>
      </c>
      <c r="J30" s="35" t="str">
        <f aca="false">IF($G30="","",IFERROR(INDEX(PrLoad,MATCH($G30&amp;"|"&amp;$B$5,PrKey,0)),"?"))</f>
        <v>80–90% of 1RM</v>
      </c>
      <c r="K30" s="35" t="str">
        <f aca="false">IF($B30="","",IF(N($S30)=0,"Bodyweight / RPE",IF(N($R30)=0,"Enter 1RM in library",TEXT(MROUND($R30*$S30,2.5),"0.0")&amp;"–"&amp;TEXT(MROUND($R30*$T30,2.5),"0.0")&amp;" kg")))</f>
        <v>80.0–90.0 kg</v>
      </c>
      <c r="L30" s="35" t="str">
        <f aca="false">IF($G30="","",IFERROR(INDEX(PrRest,MATCH($G30&amp;"|"&amp;$B$5,PrKey,0)),"?"))</f>
        <v>3–5 min</v>
      </c>
      <c r="M30" s="43" t="str">
        <f aca="false">IF($G30="","",IFERROR(INDEX(PrNote,MATCH($G30&amp;"|"&amp;$B$5,PrKey,0)),""))</f>
        <v>RPE 7–9. Leave 1–2 reps in reserve on most sets.</v>
      </c>
      <c r="N30" s="44" t="n">
        <v>82.5</v>
      </c>
      <c r="O30" s="45" t="s">
        <v>1036</v>
      </c>
      <c r="P30" s="35" t="n">
        <f aca="false">IF(OR($B30="",$U30=""),"",IF($U30=0,0,ROUND(($U30*($V30+$W30)+TimeSetup)/60,0)))</f>
        <v>19</v>
      </c>
      <c r="Q30" s="2"/>
      <c r="R30" s="46" t="n">
        <f aca="false">IF($B30="","",IFERROR(INDEX(Ex1RM,MATCH($B30,ExName,0)),""))</f>
        <v>100</v>
      </c>
      <c r="S30" s="47" t="n">
        <f aca="false">IF($G30="","",IFERROR(INDEX(PrMin,MATCH($G30&amp;"|"&amp;$B$5,PrKey,0)),""))</f>
        <v>0.8</v>
      </c>
      <c r="T30" s="47" t="n">
        <f aca="false">IF($G30="","",IFERROR(INDEX(PrMax,MATCH($G30&amp;"|"&amp;$B$5,PrKey,0)),""))</f>
        <v>0.9</v>
      </c>
      <c r="U30" s="46" t="n">
        <f aca="false">IF($G30="","",IFERROR(INDEX(PrSetsN,MATCH($G30&amp;"|"&amp;$B$5,PrKey,0)),""))</f>
        <v>4</v>
      </c>
      <c r="V30" s="2" t="n">
        <f aca="false">IF($G30="","",IFERROR(INDEX(PrWorkS,MATCH($G30&amp;"|"&amp;$B$5,PrKey,0)),""))</f>
        <v>20</v>
      </c>
      <c r="W30" s="2" t="n">
        <f aca="false">IF($G30="","",IFERROR(INDEX(PrRestS,MATCH($G30&amp;"|"&amp;$B$5,PrKey,0)),""))</f>
        <v>240</v>
      </c>
      <c r="X30" s="2"/>
      <c r="Y30" s="2" t="n">
        <f aca="false">IF(OR(INDEX(WuTrigger,19)="Always",COUNTIF($D$30:$D$51,INDEX(WuTrigger,19))&gt;0,COUNTIF($E$30:$E$51,INDEX(WuTrigger,19))&gt;0),1,0)</f>
        <v>0</v>
      </c>
      <c r="Z30" s="2" t="n">
        <f aca="false">INDEX(WuPriority,19)*1000+19</f>
        <v>4019</v>
      </c>
      <c r="AA30" s="2" t="str">
        <f aca="false">IF($Y30=0,"",SUMIFS(WuMin,$Y$12:$Y$60,1,$Z$12:$Z$60,"&lt;="&amp;$Z30))</f>
        <v/>
      </c>
      <c r="AB30" s="2" t="n">
        <f aca="false">IF(AND($Y30=1,$AA30&lt;=$B$6),1,0)</f>
        <v>0</v>
      </c>
      <c r="AC30" s="2" t="n">
        <f aca="false">INDEX(WuPhaseN,19)*1000+19</f>
        <v>3019</v>
      </c>
      <c r="AD30" s="2" t="str">
        <f aca="false">IF($AB30=0,"",COUNTIFS($AB$12:$AB$60,1,$AC$12:$AC$60,"&lt;"&amp;$AC30)+1)</f>
        <v/>
      </c>
      <c r="AE30" s="2"/>
      <c r="AF30" s="2" t="n">
        <f aca="false">IF(OR(INDEX(MoTarget,19)="Always",COUNTIF($E$30:$E$51,INDEX(MoTarget,19))&gt;0,COUNTIF($F$30:$F$51,"*"&amp;INDEX(MoTarget,19)&amp;"*")&gt;0),1,0)</f>
        <v>0</v>
      </c>
      <c r="AG30" s="2" t="n">
        <f aca="false">INDEX(MoPriority,19)*1000+19</f>
        <v>3019</v>
      </c>
      <c r="AH30" s="2" t="str">
        <f aca="false">IF($AF30=0,"",SUMIFS(MoMin,$AF$12:$AF$54,1,$AG$12:$AG$54,"&lt;="&amp;$AG30))</f>
        <v/>
      </c>
      <c r="AI30" s="2" t="n">
        <f aca="false">IF(AND($AF30=1,$AH30&lt;=$B$7),1,0)</f>
        <v>0</v>
      </c>
      <c r="AJ30" s="2" t="n">
        <f aca="false">INDEX(MoTypeN,19)*1000+19</f>
        <v>2019</v>
      </c>
      <c r="AK30" s="2" t="str">
        <f aca="false">IF($AI30=0,"",COUNTIFS($AI$12:$AI$54,1,$AJ$12:$AJ$54,"&lt;"&amp;$AJ30)+1)</f>
        <v/>
      </c>
    </row>
    <row r="31" customFormat="false" ht="30" hidden="false" customHeight="true" outlineLevel="0" collapsed="false">
      <c r="A31" s="19" t="n">
        <v>2</v>
      </c>
      <c r="B31" s="41" t="s">
        <v>130</v>
      </c>
      <c r="C31" s="42" t="str">
        <f aca="false">IF($B31="","",IFERROR(INDEX(ExEquip,MATCH($B31,ExName,0)),"?"))</f>
        <v>Barbell</v>
      </c>
      <c r="D31" s="42" t="str">
        <f aca="false">IF($B31="","",IFERROR(INDEX(ExPattern,MATCH($B31,ExName,0)),"?"))</f>
        <v>Hinge</v>
      </c>
      <c r="E31" s="42" t="str">
        <f aca="false">IF($B31="","",IFERROR(INDEX(ExPrimary,MATCH($B31,ExName,0)),"?"))</f>
        <v>Hamstrings</v>
      </c>
      <c r="F31" s="43" t="str">
        <f aca="false">IF($B31="","",IFERROR(INDEX(ExSecondary,MATCH($B31,ExName,0)),""))</f>
        <v>Glutes, Back</v>
      </c>
      <c r="G31" s="42" t="str">
        <f aca="false">IF($B31="","",IFERROR(INDEX(ExProfile,MATCH($B31,ExName,0)),"?"))</f>
        <v>Heavy compound</v>
      </c>
      <c r="H31" s="35" t="str">
        <f aca="false">IF($G31="","",IFERROR(INDEX(PrSets,MATCH($G31&amp;"|"&amp;$B$5,PrKey,0)),"?"))</f>
        <v>3–5</v>
      </c>
      <c r="I31" s="35" t="str">
        <f aca="false">IF($G31="","",IFERROR(INDEX(PrReps,MATCH($G31&amp;"|"&amp;$B$5,PrKey,0)),"?"))</f>
        <v>3–6</v>
      </c>
      <c r="J31" s="35" t="str">
        <f aca="false">IF($G31="","",IFERROR(INDEX(PrLoad,MATCH($G31&amp;"|"&amp;$B$5,PrKey,0)),"?"))</f>
        <v>80–90% of 1RM</v>
      </c>
      <c r="K31" s="35" t="str">
        <f aca="false">IF($B31="","",IF(N($S31)=0,"Bodyweight / RPE",IF(N($R31)=0,"Enter 1RM in library",TEXT(MROUND($R31*$S31,2.5),"0.0")&amp;"–"&amp;TEXT(MROUND($R31*$T31,2.5),"0.0")&amp;" kg")))</f>
        <v>Enter 1RM in library</v>
      </c>
      <c r="L31" s="35" t="str">
        <f aca="false">IF($G31="","",IFERROR(INDEX(PrRest,MATCH($G31&amp;"|"&amp;$B$5,PrKey,0)),"?"))</f>
        <v>3–5 min</v>
      </c>
      <c r="M31" s="43" t="str">
        <f aca="false">IF($G31="","",IFERROR(INDEX(PrNote,MATCH($G31&amp;"|"&amp;$B$5,PrKey,0)),""))</f>
        <v>RPE 7–9. Leave 1–2 reps in reserve on most sets.</v>
      </c>
      <c r="N31" s="44" t="n">
        <v>70</v>
      </c>
      <c r="O31" s="45"/>
      <c r="P31" s="35" t="n">
        <f aca="false">IF(OR($B31="",$U31=""),"",IF($U31=0,0,ROUND(($U31*($V31+$W31)+TimeSetup)/60,0)))</f>
        <v>19</v>
      </c>
      <c r="Q31" s="2"/>
      <c r="R31" s="46" t="n">
        <f aca="false">IF($B31="","",IFERROR(INDEX(Ex1RM,MATCH($B31,ExName,0)),""))</f>
        <v>0</v>
      </c>
      <c r="S31" s="47" t="n">
        <f aca="false">IF($G31="","",IFERROR(INDEX(PrMin,MATCH($G31&amp;"|"&amp;$B$5,PrKey,0)),""))</f>
        <v>0.8</v>
      </c>
      <c r="T31" s="47" t="n">
        <f aca="false">IF($G31="","",IFERROR(INDEX(PrMax,MATCH($G31&amp;"|"&amp;$B$5,PrKey,0)),""))</f>
        <v>0.9</v>
      </c>
      <c r="U31" s="46" t="n">
        <f aca="false">IF($G31="","",IFERROR(INDEX(PrSetsN,MATCH($G31&amp;"|"&amp;$B$5,PrKey,0)),""))</f>
        <v>4</v>
      </c>
      <c r="V31" s="2" t="n">
        <f aca="false">IF($G31="","",IFERROR(INDEX(PrWorkS,MATCH($G31&amp;"|"&amp;$B$5,PrKey,0)),""))</f>
        <v>20</v>
      </c>
      <c r="W31" s="2" t="n">
        <f aca="false">IF($G31="","",IFERROR(INDEX(PrRestS,MATCH($G31&amp;"|"&amp;$B$5,PrKey,0)),""))</f>
        <v>240</v>
      </c>
      <c r="X31" s="2"/>
      <c r="Y31" s="2" t="n">
        <f aca="false">IF(OR(INDEX(WuTrigger,20)="Always",COUNTIF($D$30:$D$51,INDEX(WuTrigger,20))&gt;0,COUNTIF($E$30:$E$51,INDEX(WuTrigger,20))&gt;0),1,0)</f>
        <v>0</v>
      </c>
      <c r="Z31" s="2" t="n">
        <f aca="false">INDEX(WuPriority,20)*1000+20</f>
        <v>5020</v>
      </c>
      <c r="AA31" s="2" t="str">
        <f aca="false">IF($Y31=0,"",SUMIFS(WuMin,$Y$12:$Y$60,1,$Z$12:$Z$60,"&lt;="&amp;$Z31))</f>
        <v/>
      </c>
      <c r="AB31" s="2" t="n">
        <f aca="false">IF(AND($Y31=1,$AA31&lt;=$B$6),1,0)</f>
        <v>0</v>
      </c>
      <c r="AC31" s="2" t="n">
        <f aca="false">INDEX(WuPhaseN,20)*1000+20</f>
        <v>2020</v>
      </c>
      <c r="AD31" s="2" t="str">
        <f aca="false">IF($AB31=0,"",COUNTIFS($AB$12:$AB$60,1,$AC$12:$AC$60,"&lt;"&amp;$AC31)+1)</f>
        <v/>
      </c>
      <c r="AE31" s="2"/>
      <c r="AF31" s="2" t="n">
        <f aca="false">IF(OR(INDEX(MoTarget,20)="Always",COUNTIF($E$30:$E$51,INDEX(MoTarget,20))&gt;0,COUNTIF($F$30:$F$51,"*"&amp;INDEX(MoTarget,20)&amp;"*")&gt;0),1,0)</f>
        <v>0</v>
      </c>
      <c r="AG31" s="2" t="n">
        <f aca="false">INDEX(MoPriority,20)*1000+20</f>
        <v>4020</v>
      </c>
      <c r="AH31" s="2" t="str">
        <f aca="false">IF($AF31=0,"",SUMIFS(MoMin,$AF$12:$AF$54,1,$AG$12:$AG$54,"&lt;="&amp;$AG31))</f>
        <v/>
      </c>
      <c r="AI31" s="2" t="n">
        <f aca="false">IF(AND($AF31=1,$AH31&lt;=$B$7),1,0)</f>
        <v>0</v>
      </c>
      <c r="AJ31" s="2" t="n">
        <f aca="false">INDEX(MoTypeN,20)*1000+20</f>
        <v>2020</v>
      </c>
      <c r="AK31" s="2" t="str">
        <f aca="false">IF($AI31=0,"",COUNTIFS($AI$12:$AI$54,1,$AJ$12:$AJ$54,"&lt;"&amp;$AJ31)+1)</f>
        <v/>
      </c>
    </row>
    <row r="32" customFormat="false" ht="30" hidden="false" customHeight="true" outlineLevel="0" collapsed="false">
      <c r="A32" s="19" t="n">
        <v>3</v>
      </c>
      <c r="B32" s="41" t="s">
        <v>191</v>
      </c>
      <c r="C32" s="42" t="str">
        <f aca="false">IF($B32="","",IFERROR(INDEX(ExEquip,MATCH($B32,ExName,0)),"?"))</f>
        <v>Dumbbell/Kettlebell</v>
      </c>
      <c r="D32" s="42" t="str">
        <f aca="false">IF($B32="","",IFERROR(INDEX(ExPattern,MATCH($B32,ExName,0)),"?"))</f>
        <v>Lunge/Single-leg</v>
      </c>
      <c r="E32" s="42" t="str">
        <f aca="false">IF($B32="","",IFERROR(INDEX(ExPrimary,MATCH($B32,ExName,0)),"?"))</f>
        <v>Quads</v>
      </c>
      <c r="F32" s="43" t="str">
        <f aca="false">IF($B32="","",IFERROR(INDEX(ExSecondary,MATCH($B32,ExName,0)),""))</f>
        <v>Glutes, Core</v>
      </c>
      <c r="G32" s="42" t="str">
        <f aca="false">IF($B32="","",IFERROR(INDEX(ExProfile,MATCH($B32,ExName,0)),"?"))</f>
        <v>Compound</v>
      </c>
      <c r="H32" s="35" t="str">
        <f aca="false">IF($G32="","",IFERROR(INDEX(PrSets,MATCH($G32&amp;"|"&amp;$B$5,PrKey,0)),"?"))</f>
        <v>3–4</v>
      </c>
      <c r="I32" s="35" t="str">
        <f aca="false">IF($G32="","",IFERROR(INDEX(PrReps,MATCH($G32&amp;"|"&amp;$B$5,PrKey,0)),"?"))</f>
        <v>5–8</v>
      </c>
      <c r="J32" s="35" t="str">
        <f aca="false">IF($G32="","",IFERROR(INDEX(PrLoad,MATCH($G32&amp;"|"&amp;$B$5,PrKey,0)),"?"))</f>
        <v>75–85% of 1RM</v>
      </c>
      <c r="K32" s="35" t="str">
        <f aca="false">IF($B32="","",IF(N($S32)=0,"Bodyweight / RPE",IF(N($R32)=0,"Enter 1RM in library",TEXT(MROUND($R32*$S32,2.5),"0.0")&amp;"–"&amp;TEXT(MROUND($R32*$T32,2.5),"0.0")&amp;" kg")))</f>
        <v>Enter 1RM in library</v>
      </c>
      <c r="L32" s="35" t="str">
        <f aca="false">IF($G32="","",IFERROR(INDEX(PrRest,MATCH($G32&amp;"|"&amp;$B$5,PrKey,0)),"?"))</f>
        <v>2–3 min</v>
      </c>
      <c r="M32" s="43" t="str">
        <f aca="false">IF($G32="","",IFERROR(INDEX(PrNote,MATCH($G32&amp;"|"&amp;$B$5,PrKey,0)),""))</f>
        <v>RPE 7–9. Add load when the top of the rep range feels easy.</v>
      </c>
      <c r="N32" s="44" t="n">
        <v>20</v>
      </c>
      <c r="O32" s="45"/>
      <c r="P32" s="35" t="n">
        <f aca="false">IF(OR($B32="",$U32=""),"",IF($U32=0,0,ROUND(($U32*($V32+$W32)+TimeSetup)/60,0)))</f>
        <v>12</v>
      </c>
      <c r="Q32" s="2"/>
      <c r="R32" s="46" t="n">
        <f aca="false">IF($B32="","",IFERROR(INDEX(Ex1RM,MATCH($B32,ExName,0)),""))</f>
        <v>0</v>
      </c>
      <c r="S32" s="47" t="n">
        <f aca="false">IF($G32="","",IFERROR(INDEX(PrMin,MATCH($G32&amp;"|"&amp;$B$5,PrKey,0)),""))</f>
        <v>0.75</v>
      </c>
      <c r="T32" s="47" t="n">
        <f aca="false">IF($G32="","",IFERROR(INDEX(PrMax,MATCH($G32&amp;"|"&amp;$B$5,PrKey,0)),""))</f>
        <v>0.85</v>
      </c>
      <c r="U32" s="46" t="n">
        <f aca="false">IF($G32="","",IFERROR(INDEX(PrSetsN,MATCH($G32&amp;"|"&amp;$B$5,PrKey,0)),""))</f>
        <v>3.5</v>
      </c>
      <c r="V32" s="2" t="n">
        <f aca="false">IF($G32="","",IFERROR(INDEX(PrWorkS,MATCH($G32&amp;"|"&amp;$B$5,PrKey,0)),""))</f>
        <v>25</v>
      </c>
      <c r="W32" s="2" t="n">
        <f aca="false">IF($G32="","",IFERROR(INDEX(PrRestS,MATCH($G32&amp;"|"&amp;$B$5,PrKey,0)),""))</f>
        <v>150</v>
      </c>
      <c r="X32" s="2"/>
      <c r="Y32" s="2" t="n">
        <f aca="false">IF(OR(INDEX(WuTrigger,21)="Always",COUNTIF($D$30:$D$51,INDEX(WuTrigger,21))&gt;0,COUNTIF($E$30:$E$51,INDEX(WuTrigger,21))&gt;0),1,0)</f>
        <v>0</v>
      </c>
      <c r="Z32" s="2" t="n">
        <f aca="false">INDEX(WuPriority,21)*1000+21</f>
        <v>3021</v>
      </c>
      <c r="AA32" s="2" t="str">
        <f aca="false">IF($Y32=0,"",SUMIFS(WuMin,$Y$12:$Y$60,1,$Z$12:$Z$60,"&lt;="&amp;$Z32))</f>
        <v/>
      </c>
      <c r="AB32" s="2" t="n">
        <f aca="false">IF(AND($Y32=1,$AA32&lt;=$B$6),1,0)</f>
        <v>0</v>
      </c>
      <c r="AC32" s="2" t="n">
        <f aca="false">INDEX(WuPhaseN,21)*1000+21</f>
        <v>3021</v>
      </c>
      <c r="AD32" s="2" t="str">
        <f aca="false">IF($AB32=0,"",COUNTIFS($AB$12:$AB$60,1,$AC$12:$AC$60,"&lt;"&amp;$AC32)+1)</f>
        <v/>
      </c>
      <c r="AE32" s="2"/>
      <c r="AF32" s="2" t="n">
        <f aca="false">IF(OR(INDEX(MoTarget,21)="Always",COUNTIF($E$30:$E$51,INDEX(MoTarget,21))&gt;0,COUNTIF($F$30:$F$51,"*"&amp;INDEX(MoTarget,21)&amp;"*")&gt;0),1,0)</f>
        <v>0</v>
      </c>
      <c r="AG32" s="2" t="n">
        <f aca="false">INDEX(MoPriority,21)*1000+21</f>
        <v>2021</v>
      </c>
      <c r="AH32" s="2" t="str">
        <f aca="false">IF($AF32=0,"",SUMIFS(MoMin,$AF$12:$AF$54,1,$AG$12:$AG$54,"&lt;="&amp;$AG32))</f>
        <v/>
      </c>
      <c r="AI32" s="2" t="n">
        <f aca="false">IF(AND($AF32=1,$AH32&lt;=$B$7),1,0)</f>
        <v>0</v>
      </c>
      <c r="AJ32" s="2" t="n">
        <f aca="false">INDEX(MoTypeN,21)*1000+21</f>
        <v>2021</v>
      </c>
      <c r="AK32" s="2" t="str">
        <f aca="false">IF($AI32=0,"",COUNTIFS($AI$12:$AI$54,1,$AJ$12:$AJ$54,"&lt;"&amp;$AJ32)+1)</f>
        <v/>
      </c>
    </row>
    <row r="33" customFormat="false" ht="30" hidden="false" customHeight="true" outlineLevel="0" collapsed="false">
      <c r="A33" s="19" t="n">
        <v>4</v>
      </c>
      <c r="B33" s="41" t="s">
        <v>623</v>
      </c>
      <c r="C33" s="42" t="str">
        <f aca="false">IF($B33="","",IFERROR(INDEX(ExEquip,MATCH($B33,ExName,0)),"?"))</f>
        <v>Machine</v>
      </c>
      <c r="D33" s="42" t="str">
        <f aca="false">IF($B33="","",IFERROR(INDEX(ExPattern,MATCH($B33,ExName,0)),"?"))</f>
        <v>Isolation</v>
      </c>
      <c r="E33" s="42" t="str">
        <f aca="false">IF($B33="","",IFERROR(INDEX(ExPrimary,MATCH($B33,ExName,0)),"?"))</f>
        <v>Hamstrings</v>
      </c>
      <c r="F33" s="43" t="n">
        <f aca="false">IF($B33="","",IFERROR(INDEX(ExSecondary,MATCH($B33,ExName,0)),""))</f>
        <v>0</v>
      </c>
      <c r="G33" s="42" t="str">
        <f aca="false">IF($B33="","",IFERROR(INDEX(ExProfile,MATCH($B33,ExName,0)),"?"))</f>
        <v>Isolation</v>
      </c>
      <c r="H33" s="35" t="str">
        <f aca="false">IF($G33="","",IFERROR(INDEX(PrSets,MATCH($G33&amp;"|"&amp;$B$5,PrKey,0)),"?"))</f>
        <v>3–4</v>
      </c>
      <c r="I33" s="35" t="str">
        <f aca="false">IF($G33="","",IFERROR(INDEX(PrReps,MATCH($G33&amp;"|"&amp;$B$5,PrKey,0)),"?"))</f>
        <v>6–12</v>
      </c>
      <c r="J33" s="35" t="str">
        <f aca="false">IF($G33="","",IFERROR(INDEX(PrLoad,MATCH($G33&amp;"|"&amp;$B$5,PrKey,0)),"?"))</f>
        <v>70–80% of 1RM</v>
      </c>
      <c r="K33" s="35" t="str">
        <f aca="false">IF($B33="","",IF(N($S33)=0,"Bodyweight / RPE",IF(N($R33)=0,"Enter 1RM in library",TEXT(MROUND($R33*$S33,2.5),"0.0")&amp;"–"&amp;TEXT(MROUND($R33*$T33,2.5),"0.0")&amp;" kg")))</f>
        <v>Enter 1RM in library</v>
      </c>
      <c r="L33" s="35" t="str">
        <f aca="false">IF($G33="","",IFERROR(INDEX(PrRest,MATCH($G33&amp;"|"&amp;$B$5,PrKey,0)),"?"))</f>
        <v>90–120 s</v>
      </c>
      <c r="M33" s="43" t="str">
        <f aca="false">IF($G33="","",IFERROR(INDEX(PrNote,MATCH($G33&amp;"|"&amp;$B$5,PrKey,0)),""))</f>
        <v>RPE 8–9. Full range of motion beats extra load.</v>
      </c>
      <c r="N33" s="44" t="n">
        <v>35</v>
      </c>
      <c r="O33" s="45"/>
      <c r="P33" s="35" t="n">
        <f aca="false">IF(OR($B33="",$U33=""),"",IF($U33=0,0,ROUND(($U33*($V33+$W33)+TimeSetup)/60,0)))</f>
        <v>9</v>
      </c>
      <c r="Q33" s="2"/>
      <c r="R33" s="46" t="n">
        <f aca="false">IF($B33="","",IFERROR(INDEX(Ex1RM,MATCH($B33,ExName,0)),""))</f>
        <v>0</v>
      </c>
      <c r="S33" s="47" t="n">
        <f aca="false">IF($G33="","",IFERROR(INDEX(PrMin,MATCH($G33&amp;"|"&amp;$B$5,PrKey,0)),""))</f>
        <v>0.7</v>
      </c>
      <c r="T33" s="47" t="n">
        <f aca="false">IF($G33="","",IFERROR(INDEX(PrMax,MATCH($G33&amp;"|"&amp;$B$5,PrKey,0)),""))</f>
        <v>0.8</v>
      </c>
      <c r="U33" s="46" t="n">
        <f aca="false">IF($G33="","",IFERROR(INDEX(PrSetsN,MATCH($G33&amp;"|"&amp;$B$5,PrKey,0)),""))</f>
        <v>3.5</v>
      </c>
      <c r="V33" s="2" t="n">
        <f aca="false">IF($G33="","",IFERROR(INDEX(PrWorkS,MATCH($G33&amp;"|"&amp;$B$5,PrKey,0)),""))</f>
        <v>30</v>
      </c>
      <c r="W33" s="2" t="n">
        <f aca="false">IF($G33="","",IFERROR(INDEX(PrRestS,MATCH($G33&amp;"|"&amp;$B$5,PrKey,0)),""))</f>
        <v>105</v>
      </c>
      <c r="X33" s="2"/>
      <c r="Y33" s="2" t="n">
        <f aca="false">IF(OR(INDEX(WuTrigger,22)="Always",COUNTIF($D$30:$D$51,INDEX(WuTrigger,22))&gt;0,COUNTIF($E$30:$E$51,INDEX(WuTrigger,22))&gt;0),1,0)</f>
        <v>0</v>
      </c>
      <c r="Z33" s="2" t="n">
        <f aca="false">INDEX(WuPriority,22)*1000+22</f>
        <v>6022</v>
      </c>
      <c r="AA33" s="2" t="str">
        <f aca="false">IF($Y33=0,"",SUMIFS(WuMin,$Y$12:$Y$60,1,$Z$12:$Z$60,"&lt;="&amp;$Z33))</f>
        <v/>
      </c>
      <c r="AB33" s="2" t="n">
        <f aca="false">IF(AND($Y33=1,$AA33&lt;=$B$6),1,0)</f>
        <v>0</v>
      </c>
      <c r="AC33" s="2" t="n">
        <f aca="false">INDEX(WuPhaseN,22)*1000+22</f>
        <v>2022</v>
      </c>
      <c r="AD33" s="2" t="str">
        <f aca="false">IF($AB33=0,"",COUNTIFS($AB$12:$AB$60,1,$AC$12:$AC$60,"&lt;"&amp;$AC33)+1)</f>
        <v/>
      </c>
      <c r="AE33" s="2"/>
      <c r="AF33" s="2" t="n">
        <f aca="false">IF(OR(INDEX(MoTarget,22)="Always",COUNTIF($E$30:$E$51,INDEX(MoTarget,22))&gt;0,COUNTIF($F$30:$F$51,"*"&amp;INDEX(MoTarget,22)&amp;"*")&gt;0),1,0)</f>
        <v>0</v>
      </c>
      <c r="AG33" s="2" t="n">
        <f aca="false">INDEX(MoPriority,22)*1000+22</f>
        <v>3022</v>
      </c>
      <c r="AH33" s="2" t="str">
        <f aca="false">IF($AF33=0,"",SUMIFS(MoMin,$AF$12:$AF$54,1,$AG$12:$AG$54,"&lt;="&amp;$AG33))</f>
        <v/>
      </c>
      <c r="AI33" s="2" t="n">
        <f aca="false">IF(AND($AF33=1,$AH33&lt;=$B$7),1,0)</f>
        <v>0</v>
      </c>
      <c r="AJ33" s="2" t="n">
        <f aca="false">INDEX(MoTypeN,22)*1000+22</f>
        <v>2022</v>
      </c>
      <c r="AK33" s="2" t="str">
        <f aca="false">IF($AI33=0,"",COUNTIFS($AI$12:$AI$54,1,$AJ$12:$AJ$54,"&lt;"&amp;$AJ33)+1)</f>
        <v/>
      </c>
    </row>
    <row r="34" customFormat="false" ht="30" hidden="false" customHeight="true" outlineLevel="0" collapsed="false">
      <c r="A34" s="19" t="n">
        <v>5</v>
      </c>
      <c r="B34" s="41" t="s">
        <v>478</v>
      </c>
      <c r="C34" s="42" t="str">
        <f aca="false">IF($B34="","",IFERROR(INDEX(ExEquip,MATCH($B34,ExName,0)),"?"))</f>
        <v>Cable</v>
      </c>
      <c r="D34" s="42" t="str">
        <f aca="false">IF($B34="","",IFERROR(INDEX(ExPattern,MATCH($B34,ExName,0)),"?"))</f>
        <v>Core/Anti-movement</v>
      </c>
      <c r="E34" s="42" t="str">
        <f aca="false">IF($B34="","",IFERROR(INDEX(ExPrimary,MATCH($B34,ExName,0)),"?"))</f>
        <v>Core</v>
      </c>
      <c r="F34" s="43" t="str">
        <f aca="false">IF($B34="","",IFERROR(INDEX(ExSecondary,MATCH($B34,ExName,0)),""))</f>
        <v>Shoulders</v>
      </c>
      <c r="G34" s="42" t="str">
        <f aca="false">IF($B34="","",IFERROR(INDEX(ExProfile,MATCH($B34,ExName,0)),"?"))</f>
        <v>Core</v>
      </c>
      <c r="H34" s="35" t="str">
        <f aca="false">IF($G34="","",IFERROR(INDEX(PrSets,MATCH($G34&amp;"|"&amp;$B$5,PrKey,0)),"?"))</f>
        <v>3–4</v>
      </c>
      <c r="I34" s="35" t="str">
        <f aca="false">IF($G34="","",IFERROR(INDEX(PrReps,MATCH($G34&amp;"|"&amp;$B$5,PrKey,0)),"?"))</f>
        <v>6–12 reps / 20–40 s</v>
      </c>
      <c r="J34" s="35" t="str">
        <f aca="false">IF($G34="","",IFERROR(INDEX(PrLoad,MATCH($G34&amp;"|"&amp;$B$5,PrKey,0)),"?"))</f>
        <v>Moderate</v>
      </c>
      <c r="K34" s="35" t="str">
        <f aca="false">IF($B34="","",IF(N($S34)=0,"Bodyweight / RPE",IF(N($R34)=0,"Enter 1RM in library",TEXT(MROUND($R34*$S34,2.5),"0.0")&amp;"–"&amp;TEXT(MROUND($R34*$T34,2.5),"0.0")&amp;" kg")))</f>
        <v>Bodyweight / RPE</v>
      </c>
      <c r="L34" s="35" t="str">
        <f aca="false">IF($G34="","",IFERROR(INDEX(PrRest,MATCH($G34&amp;"|"&amp;$B$5,PrKey,0)),"?"))</f>
        <v>60–90 s</v>
      </c>
      <c r="M34" s="43" t="str">
        <f aca="false">IF($G34="","",IFERROR(INDEX(PrNote,MATCH($G34&amp;"|"&amp;$B$5,PrKey,0)),""))</f>
        <v>Add load once you can hold a clean position.</v>
      </c>
      <c r="N34" s="44"/>
      <c r="O34" s="45"/>
      <c r="P34" s="35" t="n">
        <f aca="false">IF(OR($B34="",$U34=""),"",IF($U34=0,0,ROUND(($U34*($V34+$W34)+TimeSetup)/60,0)))</f>
        <v>8</v>
      </c>
      <c r="Q34" s="2"/>
      <c r="R34" s="46" t="n">
        <f aca="false">IF($B34="","",IFERROR(INDEX(Ex1RM,MATCH($B34,ExName,0)),""))</f>
        <v>0</v>
      </c>
      <c r="S34" s="47" t="n">
        <f aca="false">IF($G34="","",IFERROR(INDEX(PrMin,MATCH($G34&amp;"|"&amp;$B$5,PrKey,0)),""))</f>
        <v>0</v>
      </c>
      <c r="T34" s="47" t="n">
        <f aca="false">IF($G34="","",IFERROR(INDEX(PrMax,MATCH($G34&amp;"|"&amp;$B$5,PrKey,0)),""))</f>
        <v>0</v>
      </c>
      <c r="U34" s="46" t="n">
        <f aca="false">IF($G34="","",IFERROR(INDEX(PrSetsN,MATCH($G34&amp;"|"&amp;$B$5,PrKey,0)),""))</f>
        <v>3.5</v>
      </c>
      <c r="V34" s="2" t="n">
        <f aca="false">IF($G34="","",IFERROR(INDEX(PrWorkS,MATCH($G34&amp;"|"&amp;$B$5,PrKey,0)),""))</f>
        <v>35</v>
      </c>
      <c r="W34" s="2" t="n">
        <f aca="false">IF($G34="","",IFERROR(INDEX(PrRestS,MATCH($G34&amp;"|"&amp;$B$5,PrKey,0)),""))</f>
        <v>75</v>
      </c>
      <c r="X34" s="2"/>
      <c r="Y34" s="2" t="n">
        <f aca="false">IF(OR(INDEX(WuTrigger,23)="Always",COUNTIF($D$30:$D$51,INDEX(WuTrigger,23))&gt;0,COUNTIF($E$30:$E$51,INDEX(WuTrigger,23))&gt;0),1,0)</f>
        <v>0</v>
      </c>
      <c r="Z34" s="2" t="n">
        <f aca="false">INDEX(WuPriority,23)*1000+23</f>
        <v>3023</v>
      </c>
      <c r="AA34" s="2" t="str">
        <f aca="false">IF($Y34=0,"",SUMIFS(WuMin,$Y$12:$Y$60,1,$Z$12:$Z$60,"&lt;="&amp;$Z34))</f>
        <v/>
      </c>
      <c r="AB34" s="2" t="n">
        <f aca="false">IF(AND($Y34=1,$AA34&lt;=$B$6),1,0)</f>
        <v>0</v>
      </c>
      <c r="AC34" s="2" t="n">
        <f aca="false">INDEX(WuPhaseN,23)*1000+23</f>
        <v>3023</v>
      </c>
      <c r="AD34" s="2" t="str">
        <f aca="false">IF($AB34=0,"",COUNTIFS($AB$12:$AB$60,1,$AC$12:$AC$60,"&lt;"&amp;$AC34)+1)</f>
        <v/>
      </c>
      <c r="AE34" s="2"/>
      <c r="AF34" s="2" t="n">
        <f aca="false">IF(OR(INDEX(MoTarget,23)="Always",COUNTIF($E$30:$E$51,INDEX(MoTarget,23))&gt;0,COUNTIF($F$30:$F$51,"*"&amp;INDEX(MoTarget,23)&amp;"*")&gt;0),1,0)</f>
        <v>0</v>
      </c>
      <c r="AG34" s="2" t="n">
        <f aca="false">INDEX(MoPriority,23)*1000+23</f>
        <v>4023</v>
      </c>
      <c r="AH34" s="2" t="str">
        <f aca="false">IF($AF34=0,"",SUMIFS(MoMin,$AF$12:$AF$54,1,$AG$12:$AG$54,"&lt;="&amp;$AG34))</f>
        <v/>
      </c>
      <c r="AI34" s="2" t="n">
        <f aca="false">IF(AND($AF34=1,$AH34&lt;=$B$7),1,0)</f>
        <v>0</v>
      </c>
      <c r="AJ34" s="2" t="n">
        <f aca="false">INDEX(MoTypeN,23)*1000+23</f>
        <v>2023</v>
      </c>
      <c r="AK34" s="2" t="str">
        <f aca="false">IF($AI34=0,"",COUNTIFS($AI$12:$AI$54,1,$AJ$12:$AJ$54,"&lt;"&amp;$AJ34)+1)</f>
        <v/>
      </c>
    </row>
    <row r="35" customFormat="false" ht="30" hidden="false" customHeight="true" outlineLevel="0" collapsed="false">
      <c r="A35" s="19" t="n">
        <v>6</v>
      </c>
      <c r="B35" s="41" t="s">
        <v>525</v>
      </c>
      <c r="C35" s="42" t="str">
        <f aca="false">IF($B35="","",IFERROR(INDEX(ExEquip,MATCH($B35,ExName,0)),"?"))</f>
        <v>Dumbbell/Kettlebell</v>
      </c>
      <c r="D35" s="42" t="str">
        <f aca="false">IF($B35="","",IFERROR(INDEX(ExPattern,MATCH($B35,ExName,0)),"?"))</f>
        <v>Carry</v>
      </c>
      <c r="E35" s="42" t="str">
        <f aca="false">IF($B35="","",IFERROR(INDEX(ExPrimary,MATCH($B35,ExName,0)),"?"))</f>
        <v>Traps</v>
      </c>
      <c r="F35" s="43" t="str">
        <f aca="false">IF($B35="","",IFERROR(INDEX(ExSecondary,MATCH($B35,ExName,0)),""))</f>
        <v>Forearms, Core, Glutes</v>
      </c>
      <c r="G35" s="42" t="str">
        <f aca="false">IF($B35="","",IFERROR(INDEX(ExProfile,MATCH($B35,ExName,0)),"?"))</f>
        <v>Carry</v>
      </c>
      <c r="H35" s="35" t="str">
        <f aca="false">IF($G35="","",IFERROR(INDEX(PrSets,MATCH($G35&amp;"|"&amp;$B$5,PrKey,0)),"?"))</f>
        <v>3–5</v>
      </c>
      <c r="I35" s="35" t="str">
        <f aca="false">IF($G35="","",IFERROR(INDEX(PrReps,MATCH($G35&amp;"|"&amp;$B$5,PrKey,0)),"?"))</f>
        <v>20–30 m</v>
      </c>
      <c r="J35" s="35" t="str">
        <f aca="false">IF($G35="","",IFERROR(INDEX(PrLoad,MATCH($G35&amp;"|"&amp;$B$5,PrKey,0)),"?"))</f>
        <v>70–90% of max carry</v>
      </c>
      <c r="K35" s="35" t="str">
        <f aca="false">IF($B35="","",IF(N($S35)=0,"Bodyweight / RPE",IF(N($R35)=0,"Enter 1RM in library",TEXT(MROUND($R35*$S35,2.5),"0.0")&amp;"–"&amp;TEXT(MROUND($R35*$T35,2.5),"0.0")&amp;" kg")))</f>
        <v>Enter 1RM in library</v>
      </c>
      <c r="L35" s="35" t="str">
        <f aca="false">IF($G35="","",IFERROR(INDEX(PrRest,MATCH($G35&amp;"|"&amp;$B$5,PrKey,0)),"?"))</f>
        <v>90–120 s</v>
      </c>
      <c r="M35" s="43" t="str">
        <f aca="false">IF($G35="","",IFERROR(INDEX(PrNote,MATCH($G35&amp;"|"&amp;$B$5,PrKey,0)),""))</f>
        <v>Heavy. Grip is usually the limiter.</v>
      </c>
      <c r="N35" s="44" t="n">
        <v>60</v>
      </c>
      <c r="O35" s="45"/>
      <c r="P35" s="35" t="n">
        <f aca="false">IF(OR($B35="",$U35=""),"",IF($U35=0,0,ROUND(($U35*($V35+$W35)+TimeSetup)/60,0)))</f>
        <v>11</v>
      </c>
      <c r="Q35" s="2"/>
      <c r="R35" s="46" t="n">
        <f aca="false">IF($B35="","",IFERROR(INDEX(Ex1RM,MATCH($B35,ExName,0)),""))</f>
        <v>0</v>
      </c>
      <c r="S35" s="47" t="n">
        <f aca="false">IF($G35="","",IFERROR(INDEX(PrMin,MATCH($G35&amp;"|"&amp;$B$5,PrKey,0)),""))</f>
        <v>0.7</v>
      </c>
      <c r="T35" s="47" t="n">
        <f aca="false">IF($G35="","",IFERROR(INDEX(PrMax,MATCH($G35&amp;"|"&amp;$B$5,PrKey,0)),""))</f>
        <v>0.9</v>
      </c>
      <c r="U35" s="46" t="n">
        <f aca="false">IF($G35="","",IFERROR(INDEX(PrSetsN,MATCH($G35&amp;"|"&amp;$B$5,PrKey,0)),""))</f>
        <v>4</v>
      </c>
      <c r="V35" s="2" t="n">
        <f aca="false">IF($G35="","",IFERROR(INDEX(PrWorkS,MATCH($G35&amp;"|"&amp;$B$5,PrKey,0)),""))</f>
        <v>30</v>
      </c>
      <c r="W35" s="2" t="n">
        <f aca="false">IF($G35="","",IFERROR(INDEX(PrRestS,MATCH($G35&amp;"|"&amp;$B$5,PrKey,0)),""))</f>
        <v>105</v>
      </c>
      <c r="X35" s="2"/>
      <c r="Y35" s="2" t="n">
        <f aca="false">IF(OR(INDEX(WuTrigger,24)="Always",COUNTIF($D$30:$D$51,INDEX(WuTrigger,24))&gt;0,COUNTIF($E$30:$E$51,INDEX(WuTrigger,24))&gt;0),1,0)</f>
        <v>0</v>
      </c>
      <c r="Z35" s="2" t="n">
        <f aca="false">INDEX(WuPriority,24)*1000+24</f>
        <v>5024</v>
      </c>
      <c r="AA35" s="2" t="str">
        <f aca="false">IF($Y35=0,"",SUMIFS(WuMin,$Y$12:$Y$60,1,$Z$12:$Z$60,"&lt;="&amp;$Z35))</f>
        <v/>
      </c>
      <c r="AB35" s="2" t="n">
        <f aca="false">IF(AND($Y35=1,$AA35&lt;=$B$6),1,0)</f>
        <v>0</v>
      </c>
      <c r="AC35" s="2" t="n">
        <f aca="false">INDEX(WuPhaseN,24)*1000+24</f>
        <v>3024</v>
      </c>
      <c r="AD35" s="2" t="str">
        <f aca="false">IF($AB35=0,"",COUNTIFS($AB$12:$AB$60,1,$AC$12:$AC$60,"&lt;"&amp;$AC35)+1)</f>
        <v/>
      </c>
      <c r="AE35" s="2"/>
      <c r="AF35" s="2" t="n">
        <f aca="false">IF(OR(INDEX(MoTarget,24)="Always",COUNTIF($E$30:$E$51,INDEX(MoTarget,24))&gt;0,COUNTIF($F$30:$F$51,"*"&amp;INDEX(MoTarget,24)&amp;"*")&gt;0),1,0)</f>
        <v>1</v>
      </c>
      <c r="AG35" s="2" t="n">
        <f aca="false">INDEX(MoPriority,24)*1000+24</f>
        <v>2024</v>
      </c>
      <c r="AH35" s="2" t="n">
        <f aca="false">IF($AF35=0,"",SUMIFS(MoMin,$AF$12:$AF$54,1,$AG$12:$AG$54,"&lt;="&amp;$AG35))</f>
        <v>19</v>
      </c>
      <c r="AI35" s="2" t="n">
        <f aca="false">IF(AND($AF35=1,$AH35&lt;=$B$7),1,0)</f>
        <v>0</v>
      </c>
      <c r="AJ35" s="2" t="n">
        <f aca="false">INDEX(MoTypeN,24)*1000+24</f>
        <v>4024</v>
      </c>
      <c r="AK35" s="2" t="str">
        <f aca="false">IF($AI35=0,"",COUNTIFS($AI$12:$AI$54,1,$AJ$12:$AJ$54,"&lt;"&amp;$AJ35)+1)</f>
        <v/>
      </c>
    </row>
    <row r="36" customFormat="false" ht="30" hidden="false" customHeight="true" outlineLevel="0" collapsed="false">
      <c r="A36" s="19" t="n">
        <v>7</v>
      </c>
      <c r="B36" s="41"/>
      <c r="C36" s="42" t="str">
        <f aca="false">IF($B36="","",IFERROR(INDEX(ExEquip,MATCH($B36,ExName,0)),"?"))</f>
        <v/>
      </c>
      <c r="D36" s="42" t="str">
        <f aca="false">IF($B36="","",IFERROR(INDEX(ExPattern,MATCH($B36,ExName,0)),"?"))</f>
        <v/>
      </c>
      <c r="E36" s="42" t="str">
        <f aca="false">IF($B36="","",IFERROR(INDEX(ExPrimary,MATCH($B36,ExName,0)),"?"))</f>
        <v/>
      </c>
      <c r="F36" s="43" t="str">
        <f aca="false">IF($B36="","",IFERROR(INDEX(ExSecondary,MATCH($B36,ExName,0)),""))</f>
        <v/>
      </c>
      <c r="G36" s="42" t="str">
        <f aca="false">IF($B36="","",IFERROR(INDEX(ExProfile,MATCH($B36,ExName,0)),"?"))</f>
        <v/>
      </c>
      <c r="H36" s="35" t="str">
        <f aca="false">IF($G36="","",IFERROR(INDEX(PrSets,MATCH($G36&amp;"|"&amp;$B$5,PrKey,0)),"?"))</f>
        <v/>
      </c>
      <c r="I36" s="35" t="str">
        <f aca="false">IF($G36="","",IFERROR(INDEX(PrReps,MATCH($G36&amp;"|"&amp;$B$5,PrKey,0)),"?"))</f>
        <v/>
      </c>
      <c r="J36" s="35" t="str">
        <f aca="false">IF($G36="","",IFERROR(INDEX(PrLoad,MATCH($G36&amp;"|"&amp;$B$5,PrKey,0)),"?"))</f>
        <v/>
      </c>
      <c r="K36" s="35" t="str">
        <f aca="false">IF($B36="","",IF(N($S36)=0,"Bodyweight / RPE",IF(N($R36)=0,"Enter 1RM in library",TEXT(MROUND($R36*$S36,2.5),"0.0")&amp;"–"&amp;TEXT(MROUND($R36*$T36,2.5),"0.0")&amp;" kg")))</f>
        <v/>
      </c>
      <c r="L36" s="35" t="str">
        <f aca="false">IF($G36="","",IFERROR(INDEX(PrRest,MATCH($G36&amp;"|"&amp;$B$5,PrKey,0)),"?"))</f>
        <v/>
      </c>
      <c r="M36" s="43" t="str">
        <f aca="false">IF($G36="","",IFERROR(INDEX(PrNote,MATCH($G36&amp;"|"&amp;$B$5,PrKey,0)),""))</f>
        <v/>
      </c>
      <c r="N36" s="44"/>
      <c r="O36" s="45"/>
      <c r="P36" s="35" t="str">
        <f aca="false">IF(OR($B36="",$U36=""),"",IF($U36=0,0,ROUND(($U36*($V36+$W36)+TimeSetup)/60,0)))</f>
        <v/>
      </c>
      <c r="Q36" s="2"/>
      <c r="R36" s="2" t="str">
        <f aca="false">IF($B36="","",IFERROR(INDEX(Ex1RM,MATCH($B36,ExName,0)),""))</f>
        <v/>
      </c>
      <c r="S36" s="2" t="str">
        <f aca="false">IF($G36="","",IFERROR(INDEX(PrMin,MATCH($G36&amp;"|"&amp;$B$5,PrKey,0)),""))</f>
        <v/>
      </c>
      <c r="T36" s="2" t="str">
        <f aca="false">IF($G36="","",IFERROR(INDEX(PrMax,MATCH($G36&amp;"|"&amp;$B$5,PrKey,0)),""))</f>
        <v/>
      </c>
      <c r="U36" s="2" t="str">
        <f aca="false">IF($G36="","",IFERROR(INDEX(PrSetsN,MATCH($G36&amp;"|"&amp;$B$5,PrKey,0)),""))</f>
        <v/>
      </c>
      <c r="V36" s="2" t="str">
        <f aca="false">IF($G36="","",IFERROR(INDEX(PrWorkS,MATCH($G36&amp;"|"&amp;$B$5,PrKey,0)),""))</f>
        <v/>
      </c>
      <c r="W36" s="2" t="str">
        <f aca="false">IF($G36="","",IFERROR(INDEX(PrRestS,MATCH($G36&amp;"|"&amp;$B$5,PrKey,0)),""))</f>
        <v/>
      </c>
      <c r="X36" s="2"/>
      <c r="Y36" s="2" t="n">
        <f aca="false">IF(OR(INDEX(WuTrigger,25)="Always",COUNTIF($D$30:$D$51,INDEX(WuTrigger,25))&gt;0,COUNTIF($E$30:$E$51,INDEX(WuTrigger,25))&gt;0),1,0)</f>
        <v>0</v>
      </c>
      <c r="Z36" s="2" t="n">
        <f aca="false">INDEX(WuPriority,25)*1000+25</f>
        <v>5025</v>
      </c>
      <c r="AA36" s="2" t="str">
        <f aca="false">IF($Y36=0,"",SUMIFS(WuMin,$Y$12:$Y$60,1,$Z$12:$Z$60,"&lt;="&amp;$Z36))</f>
        <v/>
      </c>
      <c r="AB36" s="2" t="n">
        <f aca="false">IF(AND($Y36=1,$AA36&lt;=$B$6),1,0)</f>
        <v>0</v>
      </c>
      <c r="AC36" s="2" t="n">
        <f aca="false">INDEX(WuPhaseN,25)*1000+25</f>
        <v>2025</v>
      </c>
      <c r="AD36" s="2" t="str">
        <f aca="false">IF($AB36=0,"",COUNTIFS($AB$12:$AB$60,1,$AC$12:$AC$60,"&lt;"&amp;$AC36)+1)</f>
        <v/>
      </c>
      <c r="AE36" s="2"/>
      <c r="AF36" s="2" t="n">
        <f aca="false">IF(OR(INDEX(MoTarget,25)="Always",COUNTIF($E$30:$E$51,INDEX(MoTarget,25))&gt;0,COUNTIF($F$30:$F$51,"*"&amp;INDEX(MoTarget,25)&amp;"*")&gt;0),1,0)</f>
        <v>1</v>
      </c>
      <c r="AG36" s="2" t="n">
        <f aca="false">INDEX(MoPriority,25)*1000+25</f>
        <v>2025</v>
      </c>
      <c r="AH36" s="2" t="n">
        <f aca="false">IF($AF36=0,"",SUMIFS(MoMin,$AF$12:$AF$54,1,$AG$12:$AG$54,"&lt;="&amp;$AG36))</f>
        <v>22</v>
      </c>
      <c r="AI36" s="2" t="n">
        <f aca="false">IF(AND($AF36=1,$AH36&lt;=$B$7),1,0)</f>
        <v>0</v>
      </c>
      <c r="AJ36" s="2" t="n">
        <f aca="false">INDEX(MoTypeN,25)*1000+25</f>
        <v>4025</v>
      </c>
      <c r="AK36" s="2" t="str">
        <f aca="false">IF($AI36=0,"",COUNTIFS($AI$12:$AI$54,1,$AJ$12:$AJ$54,"&lt;"&amp;$AJ36)+1)</f>
        <v/>
      </c>
    </row>
    <row r="37" customFormat="false" ht="30" hidden="false" customHeight="true" outlineLevel="0" collapsed="false">
      <c r="A37" s="19" t="n">
        <v>8</v>
      </c>
      <c r="B37" s="41"/>
      <c r="C37" s="42" t="str">
        <f aca="false">IF($B37="","",IFERROR(INDEX(ExEquip,MATCH($B37,ExName,0)),"?"))</f>
        <v/>
      </c>
      <c r="D37" s="42" t="str">
        <f aca="false">IF($B37="","",IFERROR(INDEX(ExPattern,MATCH($B37,ExName,0)),"?"))</f>
        <v/>
      </c>
      <c r="E37" s="42" t="str">
        <f aca="false">IF($B37="","",IFERROR(INDEX(ExPrimary,MATCH($B37,ExName,0)),"?"))</f>
        <v/>
      </c>
      <c r="F37" s="43" t="str">
        <f aca="false">IF($B37="","",IFERROR(INDEX(ExSecondary,MATCH($B37,ExName,0)),""))</f>
        <v/>
      </c>
      <c r="G37" s="42" t="str">
        <f aca="false">IF($B37="","",IFERROR(INDEX(ExProfile,MATCH($B37,ExName,0)),"?"))</f>
        <v/>
      </c>
      <c r="H37" s="35" t="str">
        <f aca="false">IF($G37="","",IFERROR(INDEX(PrSets,MATCH($G37&amp;"|"&amp;$B$5,PrKey,0)),"?"))</f>
        <v/>
      </c>
      <c r="I37" s="35" t="str">
        <f aca="false">IF($G37="","",IFERROR(INDEX(PrReps,MATCH($G37&amp;"|"&amp;$B$5,PrKey,0)),"?"))</f>
        <v/>
      </c>
      <c r="J37" s="35" t="str">
        <f aca="false">IF($G37="","",IFERROR(INDEX(PrLoad,MATCH($G37&amp;"|"&amp;$B$5,PrKey,0)),"?"))</f>
        <v/>
      </c>
      <c r="K37" s="35" t="str">
        <f aca="false">IF($B37="","",IF(N($S37)=0,"Bodyweight / RPE",IF(N($R37)=0,"Enter 1RM in library",TEXT(MROUND($R37*$S37,2.5),"0.0")&amp;"–"&amp;TEXT(MROUND($R37*$T37,2.5),"0.0")&amp;" kg")))</f>
        <v/>
      </c>
      <c r="L37" s="35" t="str">
        <f aca="false">IF($G37="","",IFERROR(INDEX(PrRest,MATCH($G37&amp;"|"&amp;$B$5,PrKey,0)),"?"))</f>
        <v/>
      </c>
      <c r="M37" s="43" t="str">
        <f aca="false">IF($G37="","",IFERROR(INDEX(PrNote,MATCH($G37&amp;"|"&amp;$B$5,PrKey,0)),""))</f>
        <v/>
      </c>
      <c r="N37" s="44"/>
      <c r="O37" s="45"/>
      <c r="P37" s="35" t="str">
        <f aca="false">IF(OR($B37="",$U37=""),"",IF($U37=0,0,ROUND(($U37*($V37+$W37)+TimeSetup)/60,0)))</f>
        <v/>
      </c>
      <c r="Q37" s="2"/>
      <c r="R37" s="2" t="str">
        <f aca="false">IF($B37="","",IFERROR(INDEX(Ex1RM,MATCH($B37,ExName,0)),""))</f>
        <v/>
      </c>
      <c r="S37" s="2" t="str">
        <f aca="false">IF($G37="","",IFERROR(INDEX(PrMin,MATCH($G37&amp;"|"&amp;$B$5,PrKey,0)),""))</f>
        <v/>
      </c>
      <c r="T37" s="2" t="str">
        <f aca="false">IF($G37="","",IFERROR(INDEX(PrMax,MATCH($G37&amp;"|"&amp;$B$5,PrKey,0)),""))</f>
        <v/>
      </c>
      <c r="U37" s="2" t="str">
        <f aca="false">IF($G37="","",IFERROR(INDEX(PrSetsN,MATCH($G37&amp;"|"&amp;$B$5,PrKey,0)),""))</f>
        <v/>
      </c>
      <c r="V37" s="2" t="str">
        <f aca="false">IF($G37="","",IFERROR(INDEX(PrWorkS,MATCH($G37&amp;"|"&amp;$B$5,PrKey,0)),""))</f>
        <v/>
      </c>
      <c r="W37" s="2" t="str">
        <f aca="false">IF($G37="","",IFERROR(INDEX(PrRestS,MATCH($G37&amp;"|"&amp;$B$5,PrKey,0)),""))</f>
        <v/>
      </c>
      <c r="X37" s="2"/>
      <c r="Y37" s="2" t="n">
        <f aca="false">IF(OR(INDEX(WuTrigger,26)="Always",COUNTIF($D$30:$D$51,INDEX(WuTrigger,26))&gt;0,COUNTIF($E$30:$E$51,INDEX(WuTrigger,26))&gt;0),1,0)</f>
        <v>0</v>
      </c>
      <c r="Z37" s="2" t="n">
        <f aca="false">INDEX(WuPriority,26)*1000+26</f>
        <v>3026</v>
      </c>
      <c r="AA37" s="2" t="str">
        <f aca="false">IF($Y37=0,"",SUMIFS(WuMin,$Y$12:$Y$60,1,$Z$12:$Z$60,"&lt;="&amp;$Z37))</f>
        <v/>
      </c>
      <c r="AB37" s="2" t="n">
        <f aca="false">IF(AND($Y37=1,$AA37&lt;=$B$6),1,0)</f>
        <v>0</v>
      </c>
      <c r="AC37" s="2" t="n">
        <f aca="false">INDEX(WuPhaseN,26)*1000+26</f>
        <v>3026</v>
      </c>
      <c r="AD37" s="2" t="str">
        <f aca="false">IF($AB37=0,"",COUNTIFS($AB$12:$AB$60,1,$AC$12:$AC$60,"&lt;"&amp;$AC37)+1)</f>
        <v/>
      </c>
      <c r="AE37" s="2"/>
      <c r="AF37" s="2" t="n">
        <f aca="false">IF(OR(INDEX(MoTarget,26)="Always",COUNTIF($E$30:$E$51,INDEX(MoTarget,26))&gt;0,COUNTIF($F$30:$F$51,"*"&amp;INDEX(MoTarget,26)&amp;"*")&gt;0),1,0)</f>
        <v>1</v>
      </c>
      <c r="AG37" s="2" t="n">
        <f aca="false">INDEX(MoPriority,26)*1000+26</f>
        <v>3026</v>
      </c>
      <c r="AH37" s="2" t="n">
        <f aca="false">IF($AF37=0,"",SUMIFS(MoMin,$AF$12:$AF$54,1,$AG$12:$AG$54,"&lt;="&amp;$AG37))</f>
        <v>38</v>
      </c>
      <c r="AI37" s="2" t="n">
        <f aca="false">IF(AND($AF37=1,$AH37&lt;=$B$7),1,0)</f>
        <v>0</v>
      </c>
      <c r="AJ37" s="2" t="n">
        <f aca="false">INDEX(MoTypeN,26)*1000+26</f>
        <v>4026</v>
      </c>
      <c r="AK37" s="2" t="str">
        <f aca="false">IF($AI37=0,"",COUNTIFS($AI$12:$AI$54,1,$AJ$12:$AJ$54,"&lt;"&amp;$AJ37)+1)</f>
        <v/>
      </c>
    </row>
    <row r="38" customFormat="false" ht="30" hidden="false" customHeight="true" outlineLevel="0" collapsed="false">
      <c r="A38" s="19" t="n">
        <v>9</v>
      </c>
      <c r="B38" s="41"/>
      <c r="C38" s="42" t="str">
        <f aca="false">IF($B38="","",IFERROR(INDEX(ExEquip,MATCH($B38,ExName,0)),"?"))</f>
        <v/>
      </c>
      <c r="D38" s="42" t="str">
        <f aca="false">IF($B38="","",IFERROR(INDEX(ExPattern,MATCH($B38,ExName,0)),"?"))</f>
        <v/>
      </c>
      <c r="E38" s="42" t="str">
        <f aca="false">IF($B38="","",IFERROR(INDEX(ExPrimary,MATCH($B38,ExName,0)),"?"))</f>
        <v/>
      </c>
      <c r="F38" s="43" t="str">
        <f aca="false">IF($B38="","",IFERROR(INDEX(ExSecondary,MATCH($B38,ExName,0)),""))</f>
        <v/>
      </c>
      <c r="G38" s="42" t="str">
        <f aca="false">IF($B38="","",IFERROR(INDEX(ExProfile,MATCH($B38,ExName,0)),"?"))</f>
        <v/>
      </c>
      <c r="H38" s="35" t="str">
        <f aca="false">IF($G38="","",IFERROR(INDEX(PrSets,MATCH($G38&amp;"|"&amp;$B$5,PrKey,0)),"?"))</f>
        <v/>
      </c>
      <c r="I38" s="35" t="str">
        <f aca="false">IF($G38="","",IFERROR(INDEX(PrReps,MATCH($G38&amp;"|"&amp;$B$5,PrKey,0)),"?"))</f>
        <v/>
      </c>
      <c r="J38" s="35" t="str">
        <f aca="false">IF($G38="","",IFERROR(INDEX(PrLoad,MATCH($G38&amp;"|"&amp;$B$5,PrKey,0)),"?"))</f>
        <v/>
      </c>
      <c r="K38" s="35" t="str">
        <f aca="false">IF($B38="","",IF(N($S38)=0,"Bodyweight / RPE",IF(N($R38)=0,"Enter 1RM in library",TEXT(MROUND($R38*$S38,2.5),"0.0")&amp;"–"&amp;TEXT(MROUND($R38*$T38,2.5),"0.0")&amp;" kg")))</f>
        <v/>
      </c>
      <c r="L38" s="35" t="str">
        <f aca="false">IF($G38="","",IFERROR(INDEX(PrRest,MATCH($G38&amp;"|"&amp;$B$5,PrKey,0)),"?"))</f>
        <v/>
      </c>
      <c r="M38" s="43" t="str">
        <f aca="false">IF($G38="","",IFERROR(INDEX(PrNote,MATCH($G38&amp;"|"&amp;$B$5,PrKey,0)),""))</f>
        <v/>
      </c>
      <c r="N38" s="44"/>
      <c r="O38" s="45"/>
      <c r="P38" s="35" t="str">
        <f aca="false">IF(OR($B38="",$U38=""),"",IF($U38=0,0,ROUND(($U38*($V38+$W38)+TimeSetup)/60,0)))</f>
        <v/>
      </c>
      <c r="Q38" s="2"/>
      <c r="R38" s="2" t="str">
        <f aca="false">IF($B38="","",IFERROR(INDEX(Ex1RM,MATCH($B38,ExName,0)),""))</f>
        <v/>
      </c>
      <c r="S38" s="2" t="str">
        <f aca="false">IF($G38="","",IFERROR(INDEX(PrMin,MATCH($G38&amp;"|"&amp;$B$5,PrKey,0)),""))</f>
        <v/>
      </c>
      <c r="T38" s="2" t="str">
        <f aca="false">IF($G38="","",IFERROR(INDEX(PrMax,MATCH($G38&amp;"|"&amp;$B$5,PrKey,0)),""))</f>
        <v/>
      </c>
      <c r="U38" s="2" t="str">
        <f aca="false">IF($G38="","",IFERROR(INDEX(PrSetsN,MATCH($G38&amp;"|"&amp;$B$5,PrKey,0)),""))</f>
        <v/>
      </c>
      <c r="V38" s="2" t="str">
        <f aca="false">IF($G38="","",IFERROR(INDEX(PrWorkS,MATCH($G38&amp;"|"&amp;$B$5,PrKey,0)),""))</f>
        <v/>
      </c>
      <c r="W38" s="2" t="str">
        <f aca="false">IF($G38="","",IFERROR(INDEX(PrRestS,MATCH($G38&amp;"|"&amp;$B$5,PrKey,0)),""))</f>
        <v/>
      </c>
      <c r="X38" s="2"/>
      <c r="Y38" s="2" t="n">
        <f aca="false">IF(OR(INDEX(WuTrigger,27)="Always",COUNTIF($D$30:$D$51,INDEX(WuTrigger,27))&gt;0,COUNTIF($E$30:$E$51,INDEX(WuTrigger,27))&gt;0),1,0)</f>
        <v>0</v>
      </c>
      <c r="Z38" s="2" t="n">
        <f aca="false">INDEX(WuPriority,27)*1000+27</f>
        <v>6027</v>
      </c>
      <c r="AA38" s="2" t="str">
        <f aca="false">IF($Y38=0,"",SUMIFS(WuMin,$Y$12:$Y$60,1,$Z$12:$Z$60,"&lt;="&amp;$Z38))</f>
        <v/>
      </c>
      <c r="AB38" s="2" t="n">
        <f aca="false">IF(AND($Y38=1,$AA38&lt;=$B$6),1,0)</f>
        <v>0</v>
      </c>
      <c r="AC38" s="2" t="n">
        <f aca="false">INDEX(WuPhaseN,27)*1000+27</f>
        <v>2027</v>
      </c>
      <c r="AD38" s="2" t="str">
        <f aca="false">IF($AB38=0,"",COUNTIFS($AB$12:$AB$60,1,$AC$12:$AC$60,"&lt;"&amp;$AC38)+1)</f>
        <v/>
      </c>
      <c r="AE38" s="2"/>
      <c r="AF38" s="2" t="n">
        <f aca="false">IF(OR(INDEX(MoTarget,27)="Always",COUNTIF($E$30:$E$51,INDEX(MoTarget,27))&gt;0,COUNTIF($F$30:$F$51,"*"&amp;INDEX(MoTarget,27)&amp;"*")&gt;0),1,0)</f>
        <v>1</v>
      </c>
      <c r="AG38" s="2" t="n">
        <f aca="false">INDEX(MoPriority,27)*1000+27</f>
        <v>4027</v>
      </c>
      <c r="AH38" s="2" t="n">
        <f aca="false">IF($AF38=0,"",SUMIFS(MoMin,$AF$12:$AF$54,1,$AG$12:$AG$54,"&lt;="&amp;$AG38))</f>
        <v>60</v>
      </c>
      <c r="AI38" s="2" t="n">
        <f aca="false">IF(AND($AF38=1,$AH38&lt;=$B$7),1,0)</f>
        <v>0</v>
      </c>
      <c r="AJ38" s="2" t="n">
        <f aca="false">INDEX(MoTypeN,27)*1000+27</f>
        <v>4027</v>
      </c>
      <c r="AK38" s="2" t="str">
        <f aca="false">IF($AI38=0,"",COUNTIFS($AI$12:$AI$54,1,$AJ$12:$AJ$54,"&lt;"&amp;$AJ38)+1)</f>
        <v/>
      </c>
    </row>
    <row r="39" customFormat="false" ht="30" hidden="false" customHeight="true" outlineLevel="0" collapsed="false">
      <c r="A39" s="19" t="n">
        <v>10</v>
      </c>
      <c r="B39" s="41"/>
      <c r="C39" s="42" t="str">
        <f aca="false">IF($B39="","",IFERROR(INDEX(ExEquip,MATCH($B39,ExName,0)),"?"))</f>
        <v/>
      </c>
      <c r="D39" s="42" t="str">
        <f aca="false">IF($B39="","",IFERROR(INDEX(ExPattern,MATCH($B39,ExName,0)),"?"))</f>
        <v/>
      </c>
      <c r="E39" s="42" t="str">
        <f aca="false">IF($B39="","",IFERROR(INDEX(ExPrimary,MATCH($B39,ExName,0)),"?"))</f>
        <v/>
      </c>
      <c r="F39" s="43" t="str">
        <f aca="false">IF($B39="","",IFERROR(INDEX(ExSecondary,MATCH($B39,ExName,0)),""))</f>
        <v/>
      </c>
      <c r="G39" s="42" t="str">
        <f aca="false">IF($B39="","",IFERROR(INDEX(ExProfile,MATCH($B39,ExName,0)),"?"))</f>
        <v/>
      </c>
      <c r="H39" s="35" t="str">
        <f aca="false">IF($G39="","",IFERROR(INDEX(PrSets,MATCH($G39&amp;"|"&amp;$B$5,PrKey,0)),"?"))</f>
        <v/>
      </c>
      <c r="I39" s="35" t="str">
        <f aca="false">IF($G39="","",IFERROR(INDEX(PrReps,MATCH($G39&amp;"|"&amp;$B$5,PrKey,0)),"?"))</f>
        <v/>
      </c>
      <c r="J39" s="35" t="str">
        <f aca="false">IF($G39="","",IFERROR(INDEX(PrLoad,MATCH($G39&amp;"|"&amp;$B$5,PrKey,0)),"?"))</f>
        <v/>
      </c>
      <c r="K39" s="35" t="str">
        <f aca="false">IF($B39="","",IF(N($S39)=0,"Bodyweight / RPE",IF(N($R39)=0,"Enter 1RM in library",TEXT(MROUND($R39*$S39,2.5),"0.0")&amp;"–"&amp;TEXT(MROUND($R39*$T39,2.5),"0.0")&amp;" kg")))</f>
        <v/>
      </c>
      <c r="L39" s="35" t="str">
        <f aca="false">IF($G39="","",IFERROR(INDEX(PrRest,MATCH($G39&amp;"|"&amp;$B$5,PrKey,0)),"?"))</f>
        <v/>
      </c>
      <c r="M39" s="43" t="str">
        <f aca="false">IF($G39="","",IFERROR(INDEX(PrNote,MATCH($G39&amp;"|"&amp;$B$5,PrKey,0)),""))</f>
        <v/>
      </c>
      <c r="N39" s="44"/>
      <c r="O39" s="45"/>
      <c r="P39" s="35" t="str">
        <f aca="false">IF(OR($B39="",$U39=""),"",IF($U39=0,0,ROUND(($U39*($V39+$W39)+TimeSetup)/60,0)))</f>
        <v/>
      </c>
      <c r="Q39" s="2"/>
      <c r="R39" s="2" t="str">
        <f aca="false">IF($B39="","",IFERROR(INDEX(Ex1RM,MATCH($B39,ExName,0)),""))</f>
        <v/>
      </c>
      <c r="S39" s="2" t="str">
        <f aca="false">IF($G39="","",IFERROR(INDEX(PrMin,MATCH($G39&amp;"|"&amp;$B$5,PrKey,0)),""))</f>
        <v/>
      </c>
      <c r="T39" s="2" t="str">
        <f aca="false">IF($G39="","",IFERROR(INDEX(PrMax,MATCH($G39&amp;"|"&amp;$B$5,PrKey,0)),""))</f>
        <v/>
      </c>
      <c r="U39" s="2" t="str">
        <f aca="false">IF($G39="","",IFERROR(INDEX(PrSetsN,MATCH($G39&amp;"|"&amp;$B$5,PrKey,0)),""))</f>
        <v/>
      </c>
      <c r="V39" s="2" t="str">
        <f aca="false">IF($G39="","",IFERROR(INDEX(PrWorkS,MATCH($G39&amp;"|"&amp;$B$5,PrKey,0)),""))</f>
        <v/>
      </c>
      <c r="W39" s="2" t="str">
        <f aca="false">IF($G39="","",IFERROR(INDEX(PrRestS,MATCH($G39&amp;"|"&amp;$B$5,PrKey,0)),""))</f>
        <v/>
      </c>
      <c r="X39" s="2"/>
      <c r="Y39" s="2" t="n">
        <f aca="false">IF(OR(INDEX(WuTrigger,28)="Always",COUNTIF($D$30:$D$51,INDEX(WuTrigger,28))&gt;0,COUNTIF($E$30:$E$51,INDEX(WuTrigger,28))&gt;0),1,0)</f>
        <v>0</v>
      </c>
      <c r="Z39" s="2" t="n">
        <f aca="false">INDEX(WuPriority,28)*1000+28</f>
        <v>2028</v>
      </c>
      <c r="AA39" s="2" t="str">
        <f aca="false">IF($Y39=0,"",SUMIFS(WuMin,$Y$12:$Y$60,1,$Z$12:$Z$60,"&lt;="&amp;$Z39))</f>
        <v/>
      </c>
      <c r="AB39" s="2" t="n">
        <f aca="false">IF(AND($Y39=1,$AA39&lt;=$B$6),1,0)</f>
        <v>0</v>
      </c>
      <c r="AC39" s="2" t="n">
        <f aca="false">INDEX(WuPhaseN,28)*1000+28</f>
        <v>4028</v>
      </c>
      <c r="AD39" s="2" t="str">
        <f aca="false">IF($AB39=0,"",COUNTIFS($AB$12:$AB$60,1,$AC$12:$AC$60,"&lt;"&amp;$AC39)+1)</f>
        <v/>
      </c>
      <c r="AE39" s="2"/>
      <c r="AF39" s="2" t="n">
        <f aca="false">IF(OR(INDEX(MoTarget,28)="Always",COUNTIF($E$30:$E$51,INDEX(MoTarget,28))&gt;0,COUNTIF($F$30:$F$51,"*"&amp;INDEX(MoTarget,28)&amp;"*")&gt;0),1,0)</f>
        <v>1</v>
      </c>
      <c r="AG39" s="2" t="n">
        <f aca="false">INDEX(MoPriority,28)*1000+28</f>
        <v>4028</v>
      </c>
      <c r="AH39" s="2" t="n">
        <f aca="false">IF($AF39=0,"",SUMIFS(MoMin,$AF$12:$AF$54,1,$AG$12:$AG$54,"&lt;="&amp;$AG39))</f>
        <v>62</v>
      </c>
      <c r="AI39" s="2" t="n">
        <f aca="false">IF(AND($AF39=1,$AH39&lt;=$B$7),1,0)</f>
        <v>0</v>
      </c>
      <c r="AJ39" s="2" t="n">
        <f aca="false">INDEX(MoTypeN,28)*1000+28</f>
        <v>4028</v>
      </c>
      <c r="AK39" s="2" t="str">
        <f aca="false">IF($AI39=0,"",COUNTIFS($AI$12:$AI$54,1,$AJ$12:$AJ$54,"&lt;"&amp;$AJ39)+1)</f>
        <v/>
      </c>
    </row>
    <row r="40" customFormat="false" ht="30" hidden="false" customHeight="true" outlineLevel="0" collapsed="false">
      <c r="A40" s="19" t="n">
        <v>11</v>
      </c>
      <c r="B40" s="41"/>
      <c r="C40" s="42" t="str">
        <f aca="false">IF($B40="","",IFERROR(INDEX(ExEquip,MATCH($B40,ExName,0)),"?"))</f>
        <v/>
      </c>
      <c r="D40" s="42" t="str">
        <f aca="false">IF($B40="","",IFERROR(INDEX(ExPattern,MATCH($B40,ExName,0)),"?"))</f>
        <v/>
      </c>
      <c r="E40" s="42" t="str">
        <f aca="false">IF($B40="","",IFERROR(INDEX(ExPrimary,MATCH($B40,ExName,0)),"?"))</f>
        <v/>
      </c>
      <c r="F40" s="43" t="str">
        <f aca="false">IF($B40="","",IFERROR(INDEX(ExSecondary,MATCH($B40,ExName,0)),""))</f>
        <v/>
      </c>
      <c r="G40" s="42" t="str">
        <f aca="false">IF($B40="","",IFERROR(INDEX(ExProfile,MATCH($B40,ExName,0)),"?"))</f>
        <v/>
      </c>
      <c r="H40" s="35" t="str">
        <f aca="false">IF($G40="","",IFERROR(INDEX(PrSets,MATCH($G40&amp;"|"&amp;$B$5,PrKey,0)),"?"))</f>
        <v/>
      </c>
      <c r="I40" s="35" t="str">
        <f aca="false">IF($G40="","",IFERROR(INDEX(PrReps,MATCH($G40&amp;"|"&amp;$B$5,PrKey,0)),"?"))</f>
        <v/>
      </c>
      <c r="J40" s="35" t="str">
        <f aca="false">IF($G40="","",IFERROR(INDEX(PrLoad,MATCH($G40&amp;"|"&amp;$B$5,PrKey,0)),"?"))</f>
        <v/>
      </c>
      <c r="K40" s="35" t="str">
        <f aca="false">IF($B40="","",IF(N($S40)=0,"Bodyweight / RPE",IF(N($R40)=0,"Enter 1RM in library",TEXT(MROUND($R40*$S40,2.5),"0.0")&amp;"–"&amp;TEXT(MROUND($R40*$T40,2.5),"0.0")&amp;" kg")))</f>
        <v/>
      </c>
      <c r="L40" s="35" t="str">
        <f aca="false">IF($G40="","",IFERROR(INDEX(PrRest,MATCH($G40&amp;"|"&amp;$B$5,PrKey,0)),"?"))</f>
        <v/>
      </c>
      <c r="M40" s="43" t="str">
        <f aca="false">IF($G40="","",IFERROR(INDEX(PrNote,MATCH($G40&amp;"|"&amp;$B$5,PrKey,0)),""))</f>
        <v/>
      </c>
      <c r="N40" s="44"/>
      <c r="O40" s="45"/>
      <c r="P40" s="35" t="str">
        <f aca="false">IF(OR($B40="",$U40=""),"",IF($U40=0,0,ROUND(($U40*($V40+$W40)+TimeSetup)/60,0)))</f>
        <v/>
      </c>
      <c r="Q40" s="2"/>
      <c r="R40" s="2" t="str">
        <f aca="false">IF($B40="","",IFERROR(INDEX(Ex1RM,MATCH($B40,ExName,0)),""))</f>
        <v/>
      </c>
      <c r="S40" s="2" t="str">
        <f aca="false">IF($G40="","",IFERROR(INDEX(PrMin,MATCH($G40&amp;"|"&amp;$B$5,PrKey,0)),""))</f>
        <v/>
      </c>
      <c r="T40" s="2" t="str">
        <f aca="false">IF($G40="","",IFERROR(INDEX(PrMax,MATCH($G40&amp;"|"&amp;$B$5,PrKey,0)),""))</f>
        <v/>
      </c>
      <c r="U40" s="2" t="str">
        <f aca="false">IF($G40="","",IFERROR(INDEX(PrSetsN,MATCH($G40&amp;"|"&amp;$B$5,PrKey,0)),""))</f>
        <v/>
      </c>
      <c r="V40" s="2" t="str">
        <f aca="false">IF($G40="","",IFERROR(INDEX(PrWorkS,MATCH($G40&amp;"|"&amp;$B$5,PrKey,0)),""))</f>
        <v/>
      </c>
      <c r="W40" s="2" t="str">
        <f aca="false">IF($G40="","",IFERROR(INDEX(PrRestS,MATCH($G40&amp;"|"&amp;$B$5,PrKey,0)),""))</f>
        <v/>
      </c>
      <c r="X40" s="2"/>
      <c r="Y40" s="2" t="n">
        <f aca="false">IF(OR(INDEX(WuTrigger,29)="Always",COUNTIF($D$30:$D$51,INDEX(WuTrigger,29))&gt;0,COUNTIF($E$30:$E$51,INDEX(WuTrigger,29))&gt;0),1,0)</f>
        <v>0</v>
      </c>
      <c r="Z40" s="2" t="n">
        <f aca="false">INDEX(WuPriority,29)*1000+29</f>
        <v>4029</v>
      </c>
      <c r="AA40" s="2" t="str">
        <f aca="false">IF($Y40=0,"",SUMIFS(WuMin,$Y$12:$Y$60,1,$Z$12:$Z$60,"&lt;="&amp;$Z40))</f>
        <v/>
      </c>
      <c r="AB40" s="2" t="n">
        <f aca="false">IF(AND($Y40=1,$AA40&lt;=$B$6),1,0)</f>
        <v>0</v>
      </c>
      <c r="AC40" s="2" t="n">
        <f aca="false">INDEX(WuPhaseN,29)*1000+29</f>
        <v>2029</v>
      </c>
      <c r="AD40" s="2" t="str">
        <f aca="false">IF($AB40=0,"",COUNTIFS($AB$12:$AB$60,1,$AC$12:$AC$60,"&lt;"&amp;$AC40)+1)</f>
        <v/>
      </c>
      <c r="AE40" s="2"/>
      <c r="AF40" s="2" t="n">
        <f aca="false">IF(OR(INDEX(MoTarget,29)="Always",COUNTIF($E$30:$E$51,INDEX(MoTarget,29))&gt;0,COUNTIF($F$30:$F$51,"*"&amp;INDEX(MoTarget,29)&amp;"*")&gt;0),1,0)</f>
        <v>1</v>
      </c>
      <c r="AG40" s="2" t="n">
        <f aca="false">INDEX(MoPriority,29)*1000+29</f>
        <v>5029</v>
      </c>
      <c r="AH40" s="2" t="n">
        <f aca="false">IF($AF40=0,"",SUMIFS(MoMin,$AF$12:$AF$54,1,$AG$12:$AG$54,"&lt;="&amp;$AG40))</f>
        <v>70</v>
      </c>
      <c r="AI40" s="2" t="n">
        <f aca="false">IF(AND($AF40=1,$AH40&lt;=$B$7),1,0)</f>
        <v>0</v>
      </c>
      <c r="AJ40" s="2" t="n">
        <f aca="false">INDEX(MoTypeN,29)*1000+29</f>
        <v>4029</v>
      </c>
      <c r="AK40" s="2" t="str">
        <f aca="false">IF($AI40=0,"",COUNTIFS($AI$12:$AI$54,1,$AJ$12:$AJ$54,"&lt;"&amp;$AJ40)+1)</f>
        <v/>
      </c>
    </row>
    <row r="41" customFormat="false" ht="30" hidden="false" customHeight="true" outlineLevel="0" collapsed="false">
      <c r="A41" s="19" t="n">
        <v>12</v>
      </c>
      <c r="B41" s="41"/>
      <c r="C41" s="42" t="str">
        <f aca="false">IF($B41="","",IFERROR(INDEX(ExEquip,MATCH($B41,ExName,0)),"?"))</f>
        <v/>
      </c>
      <c r="D41" s="42" t="str">
        <f aca="false">IF($B41="","",IFERROR(INDEX(ExPattern,MATCH($B41,ExName,0)),"?"))</f>
        <v/>
      </c>
      <c r="E41" s="42" t="str">
        <f aca="false">IF($B41="","",IFERROR(INDEX(ExPrimary,MATCH($B41,ExName,0)),"?"))</f>
        <v/>
      </c>
      <c r="F41" s="43" t="str">
        <f aca="false">IF($B41="","",IFERROR(INDEX(ExSecondary,MATCH($B41,ExName,0)),""))</f>
        <v/>
      </c>
      <c r="G41" s="42" t="str">
        <f aca="false">IF($B41="","",IFERROR(INDEX(ExProfile,MATCH($B41,ExName,0)),"?"))</f>
        <v/>
      </c>
      <c r="H41" s="35" t="str">
        <f aca="false">IF($G41="","",IFERROR(INDEX(PrSets,MATCH($G41&amp;"|"&amp;$B$5,PrKey,0)),"?"))</f>
        <v/>
      </c>
      <c r="I41" s="35" t="str">
        <f aca="false">IF($G41="","",IFERROR(INDEX(PrReps,MATCH($G41&amp;"|"&amp;$B$5,PrKey,0)),"?"))</f>
        <v/>
      </c>
      <c r="J41" s="35" t="str">
        <f aca="false">IF($G41="","",IFERROR(INDEX(PrLoad,MATCH($G41&amp;"|"&amp;$B$5,PrKey,0)),"?"))</f>
        <v/>
      </c>
      <c r="K41" s="35" t="str">
        <f aca="false">IF($B41="","",IF(N($S41)=0,"Bodyweight / RPE",IF(N($R41)=0,"Enter 1RM in library",TEXT(MROUND($R41*$S41,2.5),"0.0")&amp;"–"&amp;TEXT(MROUND($R41*$T41,2.5),"0.0")&amp;" kg")))</f>
        <v/>
      </c>
      <c r="L41" s="35" t="str">
        <f aca="false">IF($G41="","",IFERROR(INDEX(PrRest,MATCH($G41&amp;"|"&amp;$B$5,PrKey,0)),"?"))</f>
        <v/>
      </c>
      <c r="M41" s="43" t="str">
        <f aca="false">IF($G41="","",IFERROR(INDEX(PrNote,MATCH($G41&amp;"|"&amp;$B$5,PrKey,0)),""))</f>
        <v/>
      </c>
      <c r="N41" s="44"/>
      <c r="O41" s="45"/>
      <c r="P41" s="35" t="str">
        <f aca="false">IF(OR($B41="",$U41=""),"",IF($U41=0,0,ROUND(($U41*($V41+$W41)+TimeSetup)/60,0)))</f>
        <v/>
      </c>
      <c r="Q41" s="2"/>
      <c r="R41" s="2" t="str">
        <f aca="false">IF($B41="","",IFERROR(INDEX(Ex1RM,MATCH($B41,ExName,0)),""))</f>
        <v/>
      </c>
      <c r="S41" s="2" t="str">
        <f aca="false">IF($G41="","",IFERROR(INDEX(PrMin,MATCH($G41&amp;"|"&amp;$B$5,PrKey,0)),""))</f>
        <v/>
      </c>
      <c r="T41" s="2" t="str">
        <f aca="false">IF($G41="","",IFERROR(INDEX(PrMax,MATCH($G41&amp;"|"&amp;$B$5,PrKey,0)),""))</f>
        <v/>
      </c>
      <c r="U41" s="2" t="str">
        <f aca="false">IF($G41="","",IFERROR(INDEX(PrSetsN,MATCH($G41&amp;"|"&amp;$B$5,PrKey,0)),""))</f>
        <v/>
      </c>
      <c r="V41" s="2" t="str">
        <f aca="false">IF($G41="","",IFERROR(INDEX(PrWorkS,MATCH($G41&amp;"|"&amp;$B$5,PrKey,0)),""))</f>
        <v/>
      </c>
      <c r="W41" s="2" t="str">
        <f aca="false">IF($G41="","",IFERROR(INDEX(PrRestS,MATCH($G41&amp;"|"&amp;$B$5,PrKey,0)),""))</f>
        <v/>
      </c>
      <c r="X41" s="2"/>
      <c r="Y41" s="2" t="n">
        <f aca="false">IF(OR(INDEX(WuTrigger,30)="Always",COUNTIF($D$30:$D$51,INDEX(WuTrigger,30))&gt;0,COUNTIF($E$30:$E$51,INDEX(WuTrigger,30))&gt;0),1,0)</f>
        <v>0</v>
      </c>
      <c r="Z41" s="2" t="n">
        <f aca="false">INDEX(WuPriority,30)*1000+30</f>
        <v>5030</v>
      </c>
      <c r="AA41" s="2" t="str">
        <f aca="false">IF($Y41=0,"",SUMIFS(WuMin,$Y$12:$Y$60,1,$Z$12:$Z$60,"&lt;="&amp;$Z41))</f>
        <v/>
      </c>
      <c r="AB41" s="2" t="n">
        <f aca="false">IF(AND($Y41=1,$AA41&lt;=$B$6),1,0)</f>
        <v>0</v>
      </c>
      <c r="AC41" s="2" t="n">
        <f aca="false">INDEX(WuPhaseN,30)*1000+30</f>
        <v>2030</v>
      </c>
      <c r="AD41" s="2" t="str">
        <f aca="false">IF($AB41=0,"",COUNTIFS($AB$12:$AB$60,1,$AC$12:$AC$60,"&lt;"&amp;$AC41)+1)</f>
        <v/>
      </c>
      <c r="AE41" s="2"/>
      <c r="AF41" s="2" t="n">
        <f aca="false">IF(OR(INDEX(MoTarget,30)="Always",COUNTIF($E$30:$E$51,INDEX(MoTarget,30))&gt;0,COUNTIF($F$30:$F$51,"*"&amp;INDEX(MoTarget,30)&amp;"*")&gt;0),1,0)</f>
        <v>1</v>
      </c>
      <c r="AG41" s="2" t="n">
        <f aca="false">INDEX(MoPriority,30)*1000+30</f>
        <v>2030</v>
      </c>
      <c r="AH41" s="2" t="n">
        <f aca="false">IF($AF41=0,"",SUMIFS(MoMin,$AF$12:$AF$54,1,$AG$12:$AG$54,"&lt;="&amp;$AG41))</f>
        <v>24</v>
      </c>
      <c r="AI41" s="2" t="n">
        <f aca="false">IF(AND($AF41=1,$AH41&lt;=$B$7),1,0)</f>
        <v>0</v>
      </c>
      <c r="AJ41" s="2" t="n">
        <f aca="false">INDEX(MoTypeN,30)*1000+30</f>
        <v>3030</v>
      </c>
      <c r="AK41" s="2" t="str">
        <f aca="false">IF($AI41=0,"",COUNTIFS($AI$12:$AI$54,1,$AJ$12:$AJ$54,"&lt;"&amp;$AJ41)+1)</f>
        <v/>
      </c>
    </row>
    <row r="42" customFormat="false" ht="30" hidden="false" customHeight="true" outlineLevel="0" collapsed="false">
      <c r="A42" s="19" t="n">
        <v>13</v>
      </c>
      <c r="B42" s="41"/>
      <c r="C42" s="42" t="str">
        <f aca="false">IF($B42="","",IFERROR(INDEX(ExEquip,MATCH($B42,ExName,0)),"?"))</f>
        <v/>
      </c>
      <c r="D42" s="42" t="str">
        <f aca="false">IF($B42="","",IFERROR(INDEX(ExPattern,MATCH($B42,ExName,0)),"?"))</f>
        <v/>
      </c>
      <c r="E42" s="42" t="str">
        <f aca="false">IF($B42="","",IFERROR(INDEX(ExPrimary,MATCH($B42,ExName,0)),"?"))</f>
        <v/>
      </c>
      <c r="F42" s="43" t="str">
        <f aca="false">IF($B42="","",IFERROR(INDEX(ExSecondary,MATCH($B42,ExName,0)),""))</f>
        <v/>
      </c>
      <c r="G42" s="42" t="str">
        <f aca="false">IF($B42="","",IFERROR(INDEX(ExProfile,MATCH($B42,ExName,0)),"?"))</f>
        <v/>
      </c>
      <c r="H42" s="35" t="str">
        <f aca="false">IF($G42="","",IFERROR(INDEX(PrSets,MATCH($G42&amp;"|"&amp;$B$5,PrKey,0)),"?"))</f>
        <v/>
      </c>
      <c r="I42" s="35" t="str">
        <f aca="false">IF($G42="","",IFERROR(INDEX(PrReps,MATCH($G42&amp;"|"&amp;$B$5,PrKey,0)),"?"))</f>
        <v/>
      </c>
      <c r="J42" s="35" t="str">
        <f aca="false">IF($G42="","",IFERROR(INDEX(PrLoad,MATCH($G42&amp;"|"&amp;$B$5,PrKey,0)),"?"))</f>
        <v/>
      </c>
      <c r="K42" s="35" t="str">
        <f aca="false">IF($B42="","",IF(N($S42)=0,"Bodyweight / RPE",IF(N($R42)=0,"Enter 1RM in library",TEXT(MROUND($R42*$S42,2.5),"0.0")&amp;"–"&amp;TEXT(MROUND($R42*$T42,2.5),"0.0")&amp;" kg")))</f>
        <v/>
      </c>
      <c r="L42" s="35" t="str">
        <f aca="false">IF($G42="","",IFERROR(INDEX(PrRest,MATCH($G42&amp;"|"&amp;$B$5,PrKey,0)),"?"))</f>
        <v/>
      </c>
      <c r="M42" s="43" t="str">
        <f aca="false">IF($G42="","",IFERROR(INDEX(PrNote,MATCH($G42&amp;"|"&amp;$B$5,PrKey,0)),""))</f>
        <v/>
      </c>
      <c r="N42" s="44"/>
      <c r="O42" s="45"/>
      <c r="P42" s="35" t="str">
        <f aca="false">IF(OR($B42="",$U42=""),"",IF($U42=0,0,ROUND(($U42*($V42+$W42)+TimeSetup)/60,0)))</f>
        <v/>
      </c>
      <c r="Q42" s="2"/>
      <c r="R42" s="2" t="str">
        <f aca="false">IF($B42="","",IFERROR(INDEX(Ex1RM,MATCH($B42,ExName,0)),""))</f>
        <v/>
      </c>
      <c r="S42" s="2" t="str">
        <f aca="false">IF($G42="","",IFERROR(INDEX(PrMin,MATCH($G42&amp;"|"&amp;$B$5,PrKey,0)),""))</f>
        <v/>
      </c>
      <c r="T42" s="2" t="str">
        <f aca="false">IF($G42="","",IFERROR(INDEX(PrMax,MATCH($G42&amp;"|"&amp;$B$5,PrKey,0)),""))</f>
        <v/>
      </c>
      <c r="U42" s="2" t="str">
        <f aca="false">IF($G42="","",IFERROR(INDEX(PrSetsN,MATCH($G42&amp;"|"&amp;$B$5,PrKey,0)),""))</f>
        <v/>
      </c>
      <c r="V42" s="2" t="str">
        <f aca="false">IF($G42="","",IFERROR(INDEX(PrWorkS,MATCH($G42&amp;"|"&amp;$B$5,PrKey,0)),""))</f>
        <v/>
      </c>
      <c r="W42" s="2" t="str">
        <f aca="false">IF($G42="","",IFERROR(INDEX(PrRestS,MATCH($G42&amp;"|"&amp;$B$5,PrKey,0)),""))</f>
        <v/>
      </c>
      <c r="X42" s="2"/>
      <c r="Y42" s="2" t="n">
        <f aca="false">IF(OR(INDEX(WuTrigger,31)="Always",COUNTIF($D$30:$D$51,INDEX(WuTrigger,31))&gt;0,COUNTIF($E$30:$E$51,INDEX(WuTrigger,31))&gt;0),1,0)</f>
        <v>0</v>
      </c>
      <c r="Z42" s="2" t="n">
        <f aca="false">INDEX(WuPriority,31)*1000+31</f>
        <v>3031</v>
      </c>
      <c r="AA42" s="2" t="str">
        <f aca="false">IF($Y42=0,"",SUMIFS(WuMin,$Y$12:$Y$60,1,$Z$12:$Z$60,"&lt;="&amp;$Z42))</f>
        <v/>
      </c>
      <c r="AB42" s="2" t="n">
        <f aca="false">IF(AND($Y42=1,$AA42&lt;=$B$6),1,0)</f>
        <v>0</v>
      </c>
      <c r="AC42" s="2" t="n">
        <f aca="false">INDEX(WuPhaseN,31)*1000+31</f>
        <v>1031</v>
      </c>
      <c r="AD42" s="2" t="str">
        <f aca="false">IF($AB42=0,"",COUNTIFS($AB$12:$AB$60,1,$AC$12:$AC$60,"&lt;"&amp;$AC42)+1)</f>
        <v/>
      </c>
      <c r="AE42" s="2"/>
      <c r="AF42" s="2" t="n">
        <f aca="false">IF(OR(INDEX(MoTarget,31)="Always",COUNTIF($E$30:$E$51,INDEX(MoTarget,31))&gt;0,COUNTIF($F$30:$F$51,"*"&amp;INDEX(MoTarget,31)&amp;"*")&gt;0),1,0)</f>
        <v>1</v>
      </c>
      <c r="AG42" s="2" t="n">
        <f aca="false">INDEX(MoPriority,31)*1000+31</f>
        <v>2031</v>
      </c>
      <c r="AH42" s="2" t="n">
        <f aca="false">IF($AF42=0,"",SUMIFS(MoMin,$AF$12:$AF$54,1,$AG$12:$AG$54,"&lt;="&amp;$AG42))</f>
        <v>26</v>
      </c>
      <c r="AI42" s="2" t="n">
        <f aca="false">IF(AND($AF42=1,$AH42&lt;=$B$7),1,0)</f>
        <v>0</v>
      </c>
      <c r="AJ42" s="2" t="n">
        <f aca="false">INDEX(MoTypeN,31)*1000+31</f>
        <v>3031</v>
      </c>
      <c r="AK42" s="2" t="str">
        <f aca="false">IF($AI42=0,"",COUNTIFS($AI$12:$AI$54,1,$AJ$12:$AJ$54,"&lt;"&amp;$AJ42)+1)</f>
        <v/>
      </c>
    </row>
    <row r="43" customFormat="false" ht="30" hidden="false" customHeight="true" outlineLevel="0" collapsed="false">
      <c r="A43" s="19" t="n">
        <v>14</v>
      </c>
      <c r="B43" s="41"/>
      <c r="C43" s="42" t="str">
        <f aca="false">IF($B43="","",IFERROR(INDEX(ExEquip,MATCH($B43,ExName,0)),"?"))</f>
        <v/>
      </c>
      <c r="D43" s="42" t="str">
        <f aca="false">IF($B43="","",IFERROR(INDEX(ExPattern,MATCH($B43,ExName,0)),"?"))</f>
        <v/>
      </c>
      <c r="E43" s="42" t="str">
        <f aca="false">IF($B43="","",IFERROR(INDEX(ExPrimary,MATCH($B43,ExName,0)),"?"))</f>
        <v/>
      </c>
      <c r="F43" s="43" t="str">
        <f aca="false">IF($B43="","",IFERROR(INDEX(ExSecondary,MATCH($B43,ExName,0)),""))</f>
        <v/>
      </c>
      <c r="G43" s="42" t="str">
        <f aca="false">IF($B43="","",IFERROR(INDEX(ExProfile,MATCH($B43,ExName,0)),"?"))</f>
        <v/>
      </c>
      <c r="H43" s="35" t="str">
        <f aca="false">IF($G43="","",IFERROR(INDEX(PrSets,MATCH($G43&amp;"|"&amp;$B$5,PrKey,0)),"?"))</f>
        <v/>
      </c>
      <c r="I43" s="35" t="str">
        <f aca="false">IF($G43="","",IFERROR(INDEX(PrReps,MATCH($G43&amp;"|"&amp;$B$5,PrKey,0)),"?"))</f>
        <v/>
      </c>
      <c r="J43" s="35" t="str">
        <f aca="false">IF($G43="","",IFERROR(INDEX(PrLoad,MATCH($G43&amp;"|"&amp;$B$5,PrKey,0)),"?"))</f>
        <v/>
      </c>
      <c r="K43" s="35" t="str">
        <f aca="false">IF($B43="","",IF(N($S43)=0,"Bodyweight / RPE",IF(N($R43)=0,"Enter 1RM in library",TEXT(MROUND($R43*$S43,2.5),"0.0")&amp;"–"&amp;TEXT(MROUND($R43*$T43,2.5),"0.0")&amp;" kg")))</f>
        <v/>
      </c>
      <c r="L43" s="35" t="str">
        <f aca="false">IF($G43="","",IFERROR(INDEX(PrRest,MATCH($G43&amp;"|"&amp;$B$5,PrKey,0)),"?"))</f>
        <v/>
      </c>
      <c r="M43" s="43" t="str">
        <f aca="false">IF($G43="","",IFERROR(INDEX(PrNote,MATCH($G43&amp;"|"&amp;$B$5,PrKey,0)),""))</f>
        <v/>
      </c>
      <c r="N43" s="44"/>
      <c r="O43" s="45"/>
      <c r="P43" s="35" t="str">
        <f aca="false">IF(OR($B43="",$U43=""),"",IF($U43=0,0,ROUND(($U43*($V43+$W43)+TimeSetup)/60,0)))</f>
        <v/>
      </c>
      <c r="Q43" s="2"/>
      <c r="R43" s="2" t="str">
        <f aca="false">IF($B43="","",IFERROR(INDEX(Ex1RM,MATCH($B43,ExName,0)),""))</f>
        <v/>
      </c>
      <c r="S43" s="2" t="str">
        <f aca="false">IF($G43="","",IFERROR(INDEX(PrMin,MATCH($G43&amp;"|"&amp;$B$5,PrKey,0)),""))</f>
        <v/>
      </c>
      <c r="T43" s="2" t="str">
        <f aca="false">IF($G43="","",IFERROR(INDEX(PrMax,MATCH($G43&amp;"|"&amp;$B$5,PrKey,0)),""))</f>
        <v/>
      </c>
      <c r="U43" s="2" t="str">
        <f aca="false">IF($G43="","",IFERROR(INDEX(PrSetsN,MATCH($G43&amp;"|"&amp;$B$5,PrKey,0)),""))</f>
        <v/>
      </c>
      <c r="V43" s="2" t="str">
        <f aca="false">IF($G43="","",IFERROR(INDEX(PrWorkS,MATCH($G43&amp;"|"&amp;$B$5,PrKey,0)),""))</f>
        <v/>
      </c>
      <c r="W43" s="2" t="str">
        <f aca="false">IF($G43="","",IFERROR(INDEX(PrRestS,MATCH($G43&amp;"|"&amp;$B$5,PrKey,0)),""))</f>
        <v/>
      </c>
      <c r="X43" s="2"/>
      <c r="Y43" s="2" t="n">
        <f aca="false">IF(OR(INDEX(WuTrigger,32)="Always",COUNTIF($D$30:$D$51,INDEX(WuTrigger,32))&gt;0,COUNTIF($E$30:$E$51,INDEX(WuTrigger,32))&gt;0),1,0)</f>
        <v>0</v>
      </c>
      <c r="Z43" s="2" t="n">
        <f aca="false">INDEX(WuPriority,32)*1000+32</f>
        <v>3032</v>
      </c>
      <c r="AA43" s="2" t="str">
        <f aca="false">IF($Y43=0,"",SUMIFS(WuMin,$Y$12:$Y$60,1,$Z$12:$Z$60,"&lt;="&amp;$Z43))</f>
        <v/>
      </c>
      <c r="AB43" s="2" t="n">
        <f aca="false">IF(AND($Y43=1,$AA43&lt;=$B$6),1,0)</f>
        <v>0</v>
      </c>
      <c r="AC43" s="2" t="n">
        <f aca="false">INDEX(WuPhaseN,32)*1000+32</f>
        <v>3032</v>
      </c>
      <c r="AD43" s="2" t="str">
        <f aca="false">IF($AB43=0,"",COUNTIFS($AB$12:$AB$60,1,$AC$12:$AC$60,"&lt;"&amp;$AC43)+1)</f>
        <v/>
      </c>
      <c r="AE43" s="2"/>
      <c r="AF43" s="2" t="n">
        <f aca="false">IF(OR(INDEX(MoTarget,32)="Always",COUNTIF($E$30:$E$51,INDEX(MoTarget,32))&gt;0,COUNTIF($F$30:$F$51,"*"&amp;INDEX(MoTarget,32)&amp;"*")&gt;0),1,0)</f>
        <v>1</v>
      </c>
      <c r="AG43" s="2" t="n">
        <f aca="false">INDEX(MoPriority,32)*1000+32</f>
        <v>3032</v>
      </c>
      <c r="AH43" s="2" t="n">
        <f aca="false">IF($AF43=0,"",SUMIFS(MoMin,$AF$12:$AF$54,1,$AG$12:$AG$54,"&lt;="&amp;$AG43))</f>
        <v>41</v>
      </c>
      <c r="AI43" s="2" t="n">
        <f aca="false">IF(AND($AF43=1,$AH43&lt;=$B$7),1,0)</f>
        <v>0</v>
      </c>
      <c r="AJ43" s="2" t="n">
        <f aca="false">INDEX(MoTypeN,32)*1000+32</f>
        <v>3032</v>
      </c>
      <c r="AK43" s="2" t="str">
        <f aca="false">IF($AI43=0,"",COUNTIFS($AI$12:$AI$54,1,$AJ$12:$AJ$54,"&lt;"&amp;$AJ43)+1)</f>
        <v/>
      </c>
    </row>
    <row r="44" customFormat="false" ht="30" hidden="false" customHeight="true" outlineLevel="0" collapsed="false">
      <c r="A44" s="19" t="n">
        <v>15</v>
      </c>
      <c r="B44" s="41"/>
      <c r="C44" s="42" t="str">
        <f aca="false">IF($B44="","",IFERROR(INDEX(ExEquip,MATCH($B44,ExName,0)),"?"))</f>
        <v/>
      </c>
      <c r="D44" s="42" t="str">
        <f aca="false">IF($B44="","",IFERROR(INDEX(ExPattern,MATCH($B44,ExName,0)),"?"))</f>
        <v/>
      </c>
      <c r="E44" s="42" t="str">
        <f aca="false">IF($B44="","",IFERROR(INDEX(ExPrimary,MATCH($B44,ExName,0)),"?"))</f>
        <v/>
      </c>
      <c r="F44" s="43" t="str">
        <f aca="false">IF($B44="","",IFERROR(INDEX(ExSecondary,MATCH($B44,ExName,0)),""))</f>
        <v/>
      </c>
      <c r="G44" s="42" t="str">
        <f aca="false">IF($B44="","",IFERROR(INDEX(ExProfile,MATCH($B44,ExName,0)),"?"))</f>
        <v/>
      </c>
      <c r="H44" s="35" t="str">
        <f aca="false">IF($G44="","",IFERROR(INDEX(PrSets,MATCH($G44&amp;"|"&amp;$B$5,PrKey,0)),"?"))</f>
        <v/>
      </c>
      <c r="I44" s="35" t="str">
        <f aca="false">IF($G44="","",IFERROR(INDEX(PrReps,MATCH($G44&amp;"|"&amp;$B$5,PrKey,0)),"?"))</f>
        <v/>
      </c>
      <c r="J44" s="35" t="str">
        <f aca="false">IF($G44="","",IFERROR(INDEX(PrLoad,MATCH($G44&amp;"|"&amp;$B$5,PrKey,0)),"?"))</f>
        <v/>
      </c>
      <c r="K44" s="35" t="str">
        <f aca="false">IF($B44="","",IF(N($S44)=0,"Bodyweight / RPE",IF(N($R44)=0,"Enter 1RM in library",TEXT(MROUND($R44*$S44,2.5),"0.0")&amp;"–"&amp;TEXT(MROUND($R44*$T44,2.5),"0.0")&amp;" kg")))</f>
        <v/>
      </c>
      <c r="L44" s="35" t="str">
        <f aca="false">IF($G44="","",IFERROR(INDEX(PrRest,MATCH($G44&amp;"|"&amp;$B$5,PrKey,0)),"?"))</f>
        <v/>
      </c>
      <c r="M44" s="43" t="str">
        <f aca="false">IF($G44="","",IFERROR(INDEX(PrNote,MATCH($G44&amp;"|"&amp;$B$5,PrKey,0)),""))</f>
        <v/>
      </c>
      <c r="N44" s="44"/>
      <c r="O44" s="45"/>
      <c r="P44" s="35" t="str">
        <f aca="false">IF(OR($B44="",$U44=""),"",IF($U44=0,0,ROUND(($U44*($V44+$W44)+TimeSetup)/60,0)))</f>
        <v/>
      </c>
      <c r="Q44" s="2"/>
      <c r="R44" s="2" t="str">
        <f aca="false">IF($B44="","",IFERROR(INDEX(Ex1RM,MATCH($B44,ExName,0)),""))</f>
        <v/>
      </c>
      <c r="S44" s="2" t="str">
        <f aca="false">IF($G44="","",IFERROR(INDEX(PrMin,MATCH($G44&amp;"|"&amp;$B$5,PrKey,0)),""))</f>
        <v/>
      </c>
      <c r="T44" s="2" t="str">
        <f aca="false">IF($G44="","",IFERROR(INDEX(PrMax,MATCH($G44&amp;"|"&amp;$B$5,PrKey,0)),""))</f>
        <v/>
      </c>
      <c r="U44" s="2" t="str">
        <f aca="false">IF($G44="","",IFERROR(INDEX(PrSetsN,MATCH($G44&amp;"|"&amp;$B$5,PrKey,0)),""))</f>
        <v/>
      </c>
      <c r="V44" s="2" t="str">
        <f aca="false">IF($G44="","",IFERROR(INDEX(PrWorkS,MATCH($G44&amp;"|"&amp;$B$5,PrKey,0)),""))</f>
        <v/>
      </c>
      <c r="W44" s="2" t="str">
        <f aca="false">IF($G44="","",IFERROR(INDEX(PrRestS,MATCH($G44&amp;"|"&amp;$B$5,PrKey,0)),""))</f>
        <v/>
      </c>
      <c r="X44" s="2"/>
      <c r="Y44" s="2" t="n">
        <f aca="false">IF(OR(INDEX(WuTrigger,33)="Always",COUNTIF($D$30:$D$51,INDEX(WuTrigger,33))&gt;0,COUNTIF($E$30:$E$51,INDEX(WuTrigger,33))&gt;0),1,0)</f>
        <v>0</v>
      </c>
      <c r="Z44" s="2" t="n">
        <f aca="false">INDEX(WuPriority,33)*1000+33</f>
        <v>4033</v>
      </c>
      <c r="AA44" s="2" t="str">
        <f aca="false">IF($Y44=0,"",SUMIFS(WuMin,$Y$12:$Y$60,1,$Z$12:$Z$60,"&lt;="&amp;$Z44))</f>
        <v/>
      </c>
      <c r="AB44" s="2" t="n">
        <f aca="false">IF(AND($Y44=1,$AA44&lt;=$B$6),1,0)</f>
        <v>0</v>
      </c>
      <c r="AC44" s="2" t="n">
        <f aca="false">INDEX(WuPhaseN,33)*1000+33</f>
        <v>3033</v>
      </c>
      <c r="AD44" s="2" t="str">
        <f aca="false">IF($AB44=0,"",COUNTIFS($AB$12:$AB$60,1,$AC$12:$AC$60,"&lt;"&amp;$AC44)+1)</f>
        <v/>
      </c>
      <c r="AE44" s="2"/>
      <c r="AF44" s="2" t="n">
        <f aca="false">IF(OR(INDEX(MoTarget,33)="Always",COUNTIF($E$30:$E$51,INDEX(MoTarget,33))&gt;0,COUNTIF($F$30:$F$51,"*"&amp;INDEX(MoTarget,33)&amp;"*")&gt;0),1,0)</f>
        <v>1</v>
      </c>
      <c r="AG44" s="2" t="n">
        <f aca="false">INDEX(MoPriority,33)*1000+33</f>
        <v>4033</v>
      </c>
      <c r="AH44" s="2" t="n">
        <f aca="false">IF($AF44=0,"",SUMIFS(MoMin,$AF$12:$AF$54,1,$AG$12:$AG$54,"&lt;="&amp;$AG44))</f>
        <v>64</v>
      </c>
      <c r="AI44" s="2" t="n">
        <f aca="false">IF(AND($AF44=1,$AH44&lt;=$B$7),1,0)</f>
        <v>0</v>
      </c>
      <c r="AJ44" s="2" t="n">
        <f aca="false">INDEX(MoTypeN,33)*1000+33</f>
        <v>3033</v>
      </c>
      <c r="AK44" s="2" t="str">
        <f aca="false">IF($AI44=0,"",COUNTIFS($AI$12:$AI$54,1,$AJ$12:$AJ$54,"&lt;"&amp;$AJ44)+1)</f>
        <v/>
      </c>
    </row>
    <row r="45" customFormat="false" ht="30" hidden="false" customHeight="true" outlineLevel="0" collapsed="false">
      <c r="A45" s="19" t="n">
        <v>16</v>
      </c>
      <c r="B45" s="41"/>
      <c r="C45" s="42" t="str">
        <f aca="false">IF($B45="","",IFERROR(INDEX(ExEquip,MATCH($B45,ExName,0)),"?"))</f>
        <v/>
      </c>
      <c r="D45" s="42" t="str">
        <f aca="false">IF($B45="","",IFERROR(INDEX(ExPattern,MATCH($B45,ExName,0)),"?"))</f>
        <v/>
      </c>
      <c r="E45" s="42" t="str">
        <f aca="false">IF($B45="","",IFERROR(INDEX(ExPrimary,MATCH($B45,ExName,0)),"?"))</f>
        <v/>
      </c>
      <c r="F45" s="43" t="str">
        <f aca="false">IF($B45="","",IFERROR(INDEX(ExSecondary,MATCH($B45,ExName,0)),""))</f>
        <v/>
      </c>
      <c r="G45" s="42" t="str">
        <f aca="false">IF($B45="","",IFERROR(INDEX(ExProfile,MATCH($B45,ExName,0)),"?"))</f>
        <v/>
      </c>
      <c r="H45" s="35" t="str">
        <f aca="false">IF($G45="","",IFERROR(INDEX(PrSets,MATCH($G45&amp;"|"&amp;$B$5,PrKey,0)),"?"))</f>
        <v/>
      </c>
      <c r="I45" s="35" t="str">
        <f aca="false">IF($G45="","",IFERROR(INDEX(PrReps,MATCH($G45&amp;"|"&amp;$B$5,PrKey,0)),"?"))</f>
        <v/>
      </c>
      <c r="J45" s="35" t="str">
        <f aca="false">IF($G45="","",IFERROR(INDEX(PrLoad,MATCH($G45&amp;"|"&amp;$B$5,PrKey,0)),"?"))</f>
        <v/>
      </c>
      <c r="K45" s="35" t="str">
        <f aca="false">IF($B45="","",IF(N($S45)=0,"Bodyweight / RPE",IF(N($R45)=0,"Enter 1RM in library",TEXT(MROUND($R45*$S45,2.5),"0.0")&amp;"–"&amp;TEXT(MROUND($R45*$T45,2.5),"0.0")&amp;" kg")))</f>
        <v/>
      </c>
      <c r="L45" s="35" t="str">
        <f aca="false">IF($G45="","",IFERROR(INDEX(PrRest,MATCH($G45&amp;"|"&amp;$B$5,PrKey,0)),"?"))</f>
        <v/>
      </c>
      <c r="M45" s="43" t="str">
        <f aca="false">IF($G45="","",IFERROR(INDEX(PrNote,MATCH($G45&amp;"|"&amp;$B$5,PrKey,0)),""))</f>
        <v/>
      </c>
      <c r="N45" s="44"/>
      <c r="O45" s="45"/>
      <c r="P45" s="35" t="str">
        <f aca="false">IF(OR($B45="",$U45=""),"",IF($U45=0,0,ROUND(($U45*($V45+$W45)+TimeSetup)/60,0)))</f>
        <v/>
      </c>
      <c r="Q45" s="2"/>
      <c r="R45" s="2" t="str">
        <f aca="false">IF($B45="","",IFERROR(INDEX(Ex1RM,MATCH($B45,ExName,0)),""))</f>
        <v/>
      </c>
      <c r="S45" s="2" t="str">
        <f aca="false">IF($G45="","",IFERROR(INDEX(PrMin,MATCH($G45&amp;"|"&amp;$B$5,PrKey,0)),""))</f>
        <v/>
      </c>
      <c r="T45" s="2" t="str">
        <f aca="false">IF($G45="","",IFERROR(INDEX(PrMax,MATCH($G45&amp;"|"&amp;$B$5,PrKey,0)),""))</f>
        <v/>
      </c>
      <c r="U45" s="2" t="str">
        <f aca="false">IF($G45="","",IFERROR(INDEX(PrSetsN,MATCH($G45&amp;"|"&amp;$B$5,PrKey,0)),""))</f>
        <v/>
      </c>
      <c r="V45" s="2" t="str">
        <f aca="false">IF($G45="","",IFERROR(INDEX(PrWorkS,MATCH($G45&amp;"|"&amp;$B$5,PrKey,0)),""))</f>
        <v/>
      </c>
      <c r="W45" s="2" t="str">
        <f aca="false">IF($G45="","",IFERROR(INDEX(PrRestS,MATCH($G45&amp;"|"&amp;$B$5,PrKey,0)),""))</f>
        <v/>
      </c>
      <c r="X45" s="2"/>
      <c r="Y45" s="2" t="n">
        <f aca="false">IF(OR(INDEX(WuTrigger,34)="Always",COUNTIF($D$30:$D$51,INDEX(WuTrigger,34))&gt;0,COUNTIF($E$30:$E$51,INDEX(WuTrigger,34))&gt;0),1,0)</f>
        <v>1</v>
      </c>
      <c r="Z45" s="2" t="n">
        <f aca="false">INDEX(WuPriority,34)*1000+34</f>
        <v>4034</v>
      </c>
      <c r="AA45" s="2" t="n">
        <f aca="false">IF($Y45=0,"",SUMIFS(WuMin,$Y$12:$Y$60,1,$Z$12:$Z$60,"&lt;="&amp;$Z45))</f>
        <v>24</v>
      </c>
      <c r="AB45" s="2" t="n">
        <f aca="false">IF(AND($Y45=1,$AA45&lt;=$B$6),1,0)</f>
        <v>0</v>
      </c>
      <c r="AC45" s="2" t="n">
        <f aca="false">INDEX(WuPhaseN,34)*1000+34</f>
        <v>3034</v>
      </c>
      <c r="AD45" s="2" t="str">
        <f aca="false">IF($AB45=0,"",COUNTIFS($AB$12:$AB$60,1,$AC$12:$AC$60,"&lt;"&amp;$AC45)+1)</f>
        <v/>
      </c>
      <c r="AE45" s="2"/>
      <c r="AF45" s="2" t="n">
        <f aca="false">IF(OR(INDEX(MoTarget,34)="Always",COUNTIF($E$30:$E$51,INDEX(MoTarget,34))&gt;0,COUNTIF($F$30:$F$51,"*"&amp;INDEX(MoTarget,34)&amp;"*")&gt;0),1,0)</f>
        <v>0</v>
      </c>
      <c r="AG45" s="2" t="n">
        <f aca="false">INDEX(MoPriority,34)*1000+34</f>
        <v>3034</v>
      </c>
      <c r="AH45" s="2" t="str">
        <f aca="false">IF($AF45=0,"",SUMIFS(MoMin,$AF$12:$AF$54,1,$AG$12:$AG$54,"&lt;="&amp;$AG45))</f>
        <v/>
      </c>
      <c r="AI45" s="2" t="n">
        <f aca="false">IF(AND($AF45=1,$AH45&lt;=$B$7),1,0)</f>
        <v>0</v>
      </c>
      <c r="AJ45" s="2" t="n">
        <f aca="false">INDEX(MoTypeN,34)*1000+34</f>
        <v>3034</v>
      </c>
      <c r="AK45" s="2" t="str">
        <f aca="false">IF($AI45=0,"",COUNTIFS($AI$12:$AI$54,1,$AJ$12:$AJ$54,"&lt;"&amp;$AJ45)+1)</f>
        <v/>
      </c>
    </row>
    <row r="46" customFormat="false" ht="30" hidden="false" customHeight="true" outlineLevel="0" collapsed="false">
      <c r="A46" s="19" t="n">
        <v>17</v>
      </c>
      <c r="B46" s="41"/>
      <c r="C46" s="42" t="str">
        <f aca="false">IF($B46="","",IFERROR(INDEX(ExEquip,MATCH($B46,ExName,0)),"?"))</f>
        <v/>
      </c>
      <c r="D46" s="42" t="str">
        <f aca="false">IF($B46="","",IFERROR(INDEX(ExPattern,MATCH($B46,ExName,0)),"?"))</f>
        <v/>
      </c>
      <c r="E46" s="42" t="str">
        <f aca="false">IF($B46="","",IFERROR(INDEX(ExPrimary,MATCH($B46,ExName,0)),"?"))</f>
        <v/>
      </c>
      <c r="F46" s="43" t="str">
        <f aca="false">IF($B46="","",IFERROR(INDEX(ExSecondary,MATCH($B46,ExName,0)),""))</f>
        <v/>
      </c>
      <c r="G46" s="42" t="str">
        <f aca="false">IF($B46="","",IFERROR(INDEX(ExProfile,MATCH($B46,ExName,0)),"?"))</f>
        <v/>
      </c>
      <c r="H46" s="35" t="str">
        <f aca="false">IF($G46="","",IFERROR(INDEX(PrSets,MATCH($G46&amp;"|"&amp;$B$5,PrKey,0)),"?"))</f>
        <v/>
      </c>
      <c r="I46" s="35" t="str">
        <f aca="false">IF($G46="","",IFERROR(INDEX(PrReps,MATCH($G46&amp;"|"&amp;$B$5,PrKey,0)),"?"))</f>
        <v/>
      </c>
      <c r="J46" s="35" t="str">
        <f aca="false">IF($G46="","",IFERROR(INDEX(PrLoad,MATCH($G46&amp;"|"&amp;$B$5,PrKey,0)),"?"))</f>
        <v/>
      </c>
      <c r="K46" s="35" t="str">
        <f aca="false">IF($B46="","",IF(N($S46)=0,"Bodyweight / RPE",IF(N($R46)=0,"Enter 1RM in library",TEXT(MROUND($R46*$S46,2.5),"0.0")&amp;"–"&amp;TEXT(MROUND($R46*$T46,2.5),"0.0")&amp;" kg")))</f>
        <v/>
      </c>
      <c r="L46" s="35" t="str">
        <f aca="false">IF($G46="","",IFERROR(INDEX(PrRest,MATCH($G46&amp;"|"&amp;$B$5,PrKey,0)),"?"))</f>
        <v/>
      </c>
      <c r="M46" s="43" t="str">
        <f aca="false">IF($G46="","",IFERROR(INDEX(PrNote,MATCH($G46&amp;"|"&amp;$B$5,PrKey,0)),""))</f>
        <v/>
      </c>
      <c r="N46" s="44"/>
      <c r="O46" s="45"/>
      <c r="P46" s="35" t="str">
        <f aca="false">IF(OR($B46="",$U46=""),"",IF($U46=0,0,ROUND(($U46*($V46+$W46)+TimeSetup)/60,0)))</f>
        <v/>
      </c>
      <c r="Q46" s="2"/>
      <c r="R46" s="2" t="str">
        <f aca="false">IF($B46="","",IFERROR(INDEX(Ex1RM,MATCH($B46,ExName,0)),""))</f>
        <v/>
      </c>
      <c r="S46" s="2" t="str">
        <f aca="false">IF($G46="","",IFERROR(INDEX(PrMin,MATCH($G46&amp;"|"&amp;$B$5,PrKey,0)),""))</f>
        <v/>
      </c>
      <c r="T46" s="2" t="str">
        <f aca="false">IF($G46="","",IFERROR(INDEX(PrMax,MATCH($G46&amp;"|"&amp;$B$5,PrKey,0)),""))</f>
        <v/>
      </c>
      <c r="U46" s="2" t="str">
        <f aca="false">IF($G46="","",IFERROR(INDEX(PrSetsN,MATCH($G46&amp;"|"&amp;$B$5,PrKey,0)),""))</f>
        <v/>
      </c>
      <c r="V46" s="2" t="str">
        <f aca="false">IF($G46="","",IFERROR(INDEX(PrWorkS,MATCH($G46&amp;"|"&amp;$B$5,PrKey,0)),""))</f>
        <v/>
      </c>
      <c r="W46" s="2" t="str">
        <f aca="false">IF($G46="","",IFERROR(INDEX(PrRestS,MATCH($G46&amp;"|"&amp;$B$5,PrKey,0)),""))</f>
        <v/>
      </c>
      <c r="X46" s="2"/>
      <c r="Y46" s="2" t="n">
        <f aca="false">IF(OR(INDEX(WuTrigger,35)="Always",COUNTIF($D$30:$D$51,INDEX(WuTrigger,35))&gt;0,COUNTIF($E$30:$E$51,INDEX(WuTrigger,35))&gt;0),1,0)</f>
        <v>1</v>
      </c>
      <c r="Z46" s="2" t="n">
        <f aca="false">INDEX(WuPriority,35)*1000+35</f>
        <v>5035</v>
      </c>
      <c r="AA46" s="2" t="n">
        <f aca="false">IF($Y46=0,"",SUMIFS(WuMin,$Y$12:$Y$60,1,$Z$12:$Z$60,"&lt;="&amp;$Z46))</f>
        <v>38</v>
      </c>
      <c r="AB46" s="2" t="n">
        <f aca="false">IF(AND($Y46=1,$AA46&lt;=$B$6),1,0)</f>
        <v>0</v>
      </c>
      <c r="AC46" s="2" t="n">
        <f aca="false">INDEX(WuPhaseN,35)*1000+35</f>
        <v>3035</v>
      </c>
      <c r="AD46" s="2" t="str">
        <f aca="false">IF($AB46=0,"",COUNTIFS($AB$12:$AB$60,1,$AC$12:$AC$60,"&lt;"&amp;$AC46)+1)</f>
        <v/>
      </c>
      <c r="AE46" s="2"/>
      <c r="AF46" s="2" t="n">
        <f aca="false">IF(OR(INDEX(MoTarget,35)="Always",COUNTIF($E$30:$E$51,INDEX(MoTarget,35))&gt;0,COUNTIF($F$30:$F$51,"*"&amp;INDEX(MoTarget,35)&amp;"*")&gt;0),1,0)</f>
        <v>0</v>
      </c>
      <c r="AG46" s="2" t="n">
        <f aca="false">INDEX(MoPriority,35)*1000+35</f>
        <v>2035</v>
      </c>
      <c r="AH46" s="2" t="str">
        <f aca="false">IF($AF46=0,"",SUMIFS(MoMin,$AF$12:$AF$54,1,$AG$12:$AG$54,"&lt;="&amp;$AG46))</f>
        <v/>
      </c>
      <c r="AI46" s="2" t="n">
        <f aca="false">IF(AND($AF46=1,$AH46&lt;=$B$7),1,0)</f>
        <v>0</v>
      </c>
      <c r="AJ46" s="2" t="n">
        <f aca="false">INDEX(MoTypeN,35)*1000+35</f>
        <v>3035</v>
      </c>
      <c r="AK46" s="2" t="str">
        <f aca="false">IF($AI46=0,"",COUNTIFS($AI$12:$AI$54,1,$AJ$12:$AJ$54,"&lt;"&amp;$AJ46)+1)</f>
        <v/>
      </c>
    </row>
    <row r="47" customFormat="false" ht="30" hidden="false" customHeight="true" outlineLevel="0" collapsed="false">
      <c r="A47" s="19" t="n">
        <v>18</v>
      </c>
      <c r="B47" s="41"/>
      <c r="C47" s="42" t="str">
        <f aca="false">IF($B47="","",IFERROR(INDEX(ExEquip,MATCH($B47,ExName,0)),"?"))</f>
        <v/>
      </c>
      <c r="D47" s="42" t="str">
        <f aca="false">IF($B47="","",IFERROR(INDEX(ExPattern,MATCH($B47,ExName,0)),"?"))</f>
        <v/>
      </c>
      <c r="E47" s="42" t="str">
        <f aca="false">IF($B47="","",IFERROR(INDEX(ExPrimary,MATCH($B47,ExName,0)),"?"))</f>
        <v/>
      </c>
      <c r="F47" s="43" t="str">
        <f aca="false">IF($B47="","",IFERROR(INDEX(ExSecondary,MATCH($B47,ExName,0)),""))</f>
        <v/>
      </c>
      <c r="G47" s="42" t="str">
        <f aca="false">IF($B47="","",IFERROR(INDEX(ExProfile,MATCH($B47,ExName,0)),"?"))</f>
        <v/>
      </c>
      <c r="H47" s="35" t="str">
        <f aca="false">IF($G47="","",IFERROR(INDEX(PrSets,MATCH($G47&amp;"|"&amp;$B$5,PrKey,0)),"?"))</f>
        <v/>
      </c>
      <c r="I47" s="35" t="str">
        <f aca="false">IF($G47="","",IFERROR(INDEX(PrReps,MATCH($G47&amp;"|"&amp;$B$5,PrKey,0)),"?"))</f>
        <v/>
      </c>
      <c r="J47" s="35" t="str">
        <f aca="false">IF($G47="","",IFERROR(INDEX(PrLoad,MATCH($G47&amp;"|"&amp;$B$5,PrKey,0)),"?"))</f>
        <v/>
      </c>
      <c r="K47" s="35" t="str">
        <f aca="false">IF($B47="","",IF(N($S47)=0,"Bodyweight / RPE",IF(N($R47)=0,"Enter 1RM in library",TEXT(MROUND($R47*$S47,2.5),"0.0")&amp;"–"&amp;TEXT(MROUND($R47*$T47,2.5),"0.0")&amp;" kg")))</f>
        <v/>
      </c>
      <c r="L47" s="35" t="str">
        <f aca="false">IF($G47="","",IFERROR(INDEX(PrRest,MATCH($G47&amp;"|"&amp;$B$5,PrKey,0)),"?"))</f>
        <v/>
      </c>
      <c r="M47" s="43" t="str">
        <f aca="false">IF($G47="","",IFERROR(INDEX(PrNote,MATCH($G47&amp;"|"&amp;$B$5,PrKey,0)),""))</f>
        <v/>
      </c>
      <c r="N47" s="44"/>
      <c r="O47" s="45"/>
      <c r="P47" s="35" t="str">
        <f aca="false">IF(OR($B47="",$U47=""),"",IF($U47=0,0,ROUND(($U47*($V47+$W47)+TimeSetup)/60,0)))</f>
        <v/>
      </c>
      <c r="Q47" s="2"/>
      <c r="R47" s="2" t="str">
        <f aca="false">IF($B47="","",IFERROR(INDEX(Ex1RM,MATCH($B47,ExName,0)),""))</f>
        <v/>
      </c>
      <c r="S47" s="2" t="str">
        <f aca="false">IF($G47="","",IFERROR(INDEX(PrMin,MATCH($G47&amp;"|"&amp;$B$5,PrKey,0)),""))</f>
        <v/>
      </c>
      <c r="T47" s="2" t="str">
        <f aca="false">IF($G47="","",IFERROR(INDEX(PrMax,MATCH($G47&amp;"|"&amp;$B$5,PrKey,0)),""))</f>
        <v/>
      </c>
      <c r="U47" s="2" t="str">
        <f aca="false">IF($G47="","",IFERROR(INDEX(PrSetsN,MATCH($G47&amp;"|"&amp;$B$5,PrKey,0)),""))</f>
        <v/>
      </c>
      <c r="V47" s="2" t="str">
        <f aca="false">IF($G47="","",IFERROR(INDEX(PrWorkS,MATCH($G47&amp;"|"&amp;$B$5,PrKey,0)),""))</f>
        <v/>
      </c>
      <c r="W47" s="2" t="str">
        <f aca="false">IF($G47="","",IFERROR(INDEX(PrRestS,MATCH($G47&amp;"|"&amp;$B$5,PrKey,0)),""))</f>
        <v/>
      </c>
      <c r="X47" s="2"/>
      <c r="Y47" s="2" t="n">
        <f aca="false">IF(OR(INDEX(WuTrigger,36)="Always",COUNTIF($D$30:$D$51,INDEX(WuTrigger,36))&gt;0,COUNTIF($E$30:$E$51,INDEX(WuTrigger,36))&gt;0),1,0)</f>
        <v>1</v>
      </c>
      <c r="Z47" s="2" t="n">
        <f aca="false">INDEX(WuPriority,36)*1000+36</f>
        <v>4036</v>
      </c>
      <c r="AA47" s="2" t="n">
        <f aca="false">IF($Y47=0,"",SUMIFS(WuMin,$Y$12:$Y$60,1,$Z$12:$Z$60,"&lt;="&amp;$Z47))</f>
        <v>26</v>
      </c>
      <c r="AB47" s="2" t="n">
        <f aca="false">IF(AND($Y47=1,$AA47&lt;=$B$6),1,0)</f>
        <v>0</v>
      </c>
      <c r="AC47" s="2" t="n">
        <f aca="false">INDEX(WuPhaseN,36)*1000+36</f>
        <v>3036</v>
      </c>
      <c r="AD47" s="2" t="str">
        <f aca="false">IF($AB47=0,"",COUNTIFS($AB$12:$AB$60,1,$AC$12:$AC$60,"&lt;"&amp;$AC47)+1)</f>
        <v/>
      </c>
      <c r="AE47" s="2"/>
      <c r="AF47" s="2" t="n">
        <f aca="false">IF(OR(INDEX(MoTarget,36)="Always",COUNTIF($E$30:$E$51,INDEX(MoTarget,36))&gt;0,COUNTIF($F$30:$F$51,"*"&amp;INDEX(MoTarget,36)&amp;"*")&gt;0),1,0)</f>
        <v>0</v>
      </c>
      <c r="AG47" s="2" t="n">
        <f aca="false">INDEX(MoPriority,36)*1000+36</f>
        <v>3036</v>
      </c>
      <c r="AH47" s="2" t="str">
        <f aca="false">IF($AF47=0,"",SUMIFS(MoMin,$AF$12:$AF$54,1,$AG$12:$AG$54,"&lt;="&amp;$AG47))</f>
        <v/>
      </c>
      <c r="AI47" s="2" t="n">
        <f aca="false">IF(AND($AF47=1,$AH47&lt;=$B$7),1,0)</f>
        <v>0</v>
      </c>
      <c r="AJ47" s="2" t="n">
        <f aca="false">INDEX(MoTypeN,36)*1000+36</f>
        <v>3036</v>
      </c>
      <c r="AK47" s="2" t="str">
        <f aca="false">IF($AI47=0,"",COUNTIFS($AI$12:$AI$54,1,$AJ$12:$AJ$54,"&lt;"&amp;$AJ47)+1)</f>
        <v/>
      </c>
    </row>
    <row r="48" customFormat="false" ht="30" hidden="false" customHeight="true" outlineLevel="0" collapsed="false">
      <c r="A48" s="19" t="n">
        <v>19</v>
      </c>
      <c r="B48" s="41"/>
      <c r="C48" s="42" t="str">
        <f aca="false">IF($B48="","",IFERROR(INDEX(ExEquip,MATCH($B48,ExName,0)),"?"))</f>
        <v/>
      </c>
      <c r="D48" s="42" t="str">
        <f aca="false">IF($B48="","",IFERROR(INDEX(ExPattern,MATCH($B48,ExName,0)),"?"))</f>
        <v/>
      </c>
      <c r="E48" s="42" t="str">
        <f aca="false">IF($B48="","",IFERROR(INDEX(ExPrimary,MATCH($B48,ExName,0)),"?"))</f>
        <v/>
      </c>
      <c r="F48" s="43" t="str">
        <f aca="false">IF($B48="","",IFERROR(INDEX(ExSecondary,MATCH($B48,ExName,0)),""))</f>
        <v/>
      </c>
      <c r="G48" s="42" t="str">
        <f aca="false">IF($B48="","",IFERROR(INDEX(ExProfile,MATCH($B48,ExName,0)),"?"))</f>
        <v/>
      </c>
      <c r="H48" s="35" t="str">
        <f aca="false">IF($G48="","",IFERROR(INDEX(PrSets,MATCH($G48&amp;"|"&amp;$B$5,PrKey,0)),"?"))</f>
        <v/>
      </c>
      <c r="I48" s="35" t="str">
        <f aca="false">IF($G48="","",IFERROR(INDEX(PrReps,MATCH($G48&amp;"|"&amp;$B$5,PrKey,0)),"?"))</f>
        <v/>
      </c>
      <c r="J48" s="35" t="str">
        <f aca="false">IF($G48="","",IFERROR(INDEX(PrLoad,MATCH($G48&amp;"|"&amp;$B$5,PrKey,0)),"?"))</f>
        <v/>
      </c>
      <c r="K48" s="35" t="str">
        <f aca="false">IF($B48="","",IF(N($S48)=0,"Bodyweight / RPE",IF(N($R48)=0,"Enter 1RM in library",TEXT(MROUND($R48*$S48,2.5),"0.0")&amp;"–"&amp;TEXT(MROUND($R48*$T48,2.5),"0.0")&amp;" kg")))</f>
        <v/>
      </c>
      <c r="L48" s="35" t="str">
        <f aca="false">IF($G48="","",IFERROR(INDEX(PrRest,MATCH($G48&amp;"|"&amp;$B$5,PrKey,0)),"?"))</f>
        <v/>
      </c>
      <c r="M48" s="43" t="str">
        <f aca="false">IF($G48="","",IFERROR(INDEX(PrNote,MATCH($G48&amp;"|"&amp;$B$5,PrKey,0)),""))</f>
        <v/>
      </c>
      <c r="N48" s="44"/>
      <c r="O48" s="45"/>
      <c r="P48" s="35" t="str">
        <f aca="false">IF(OR($B48="",$U48=""),"",IF($U48=0,0,ROUND(($U48*($V48+$W48)+TimeSetup)/60,0)))</f>
        <v/>
      </c>
      <c r="Q48" s="2"/>
      <c r="R48" s="2" t="str">
        <f aca="false">IF($B48="","",IFERROR(INDEX(Ex1RM,MATCH($B48,ExName,0)),""))</f>
        <v/>
      </c>
      <c r="S48" s="2" t="str">
        <f aca="false">IF($G48="","",IFERROR(INDEX(PrMin,MATCH($G48&amp;"|"&amp;$B$5,PrKey,0)),""))</f>
        <v/>
      </c>
      <c r="T48" s="2" t="str">
        <f aca="false">IF($G48="","",IFERROR(INDEX(PrMax,MATCH($G48&amp;"|"&amp;$B$5,PrKey,0)),""))</f>
        <v/>
      </c>
      <c r="U48" s="2" t="str">
        <f aca="false">IF($G48="","",IFERROR(INDEX(PrSetsN,MATCH($G48&amp;"|"&amp;$B$5,PrKey,0)),""))</f>
        <v/>
      </c>
      <c r="V48" s="2" t="str">
        <f aca="false">IF($G48="","",IFERROR(INDEX(PrWorkS,MATCH($G48&amp;"|"&amp;$B$5,PrKey,0)),""))</f>
        <v/>
      </c>
      <c r="W48" s="2" t="str">
        <f aca="false">IF($G48="","",IFERROR(INDEX(PrRestS,MATCH($G48&amp;"|"&amp;$B$5,PrKey,0)),""))</f>
        <v/>
      </c>
      <c r="X48" s="2"/>
      <c r="Y48" s="2" t="n">
        <f aca="false">IF(OR(INDEX(WuTrigger,37)="Always",COUNTIF($D$30:$D$51,INDEX(WuTrigger,37))&gt;0,COUNTIF($E$30:$E$51,INDEX(WuTrigger,37))&gt;0),1,0)</f>
        <v>1</v>
      </c>
      <c r="Z48" s="2" t="n">
        <f aca="false">INDEX(WuPriority,37)*1000+37</f>
        <v>4037</v>
      </c>
      <c r="AA48" s="2" t="n">
        <f aca="false">IF($Y48=0,"",SUMIFS(WuMin,$Y$12:$Y$60,1,$Z$12:$Z$60,"&lt;="&amp;$Z48))</f>
        <v>28</v>
      </c>
      <c r="AB48" s="2" t="n">
        <f aca="false">IF(AND($Y48=1,$AA48&lt;=$B$6),1,0)</f>
        <v>0</v>
      </c>
      <c r="AC48" s="2" t="n">
        <f aca="false">INDEX(WuPhaseN,37)*1000+37</f>
        <v>4037</v>
      </c>
      <c r="AD48" s="2" t="str">
        <f aca="false">IF($AB48=0,"",COUNTIFS($AB$12:$AB$60,1,$AC$12:$AC$60,"&lt;"&amp;$AC48)+1)</f>
        <v/>
      </c>
      <c r="AE48" s="2"/>
      <c r="AF48" s="2" t="n">
        <f aca="false">IF(OR(INDEX(MoTarget,37)="Always",COUNTIF($E$30:$E$51,INDEX(MoTarget,37))&gt;0,COUNTIF($F$30:$F$51,"*"&amp;INDEX(MoTarget,37)&amp;"*")&gt;0),1,0)</f>
        <v>0</v>
      </c>
      <c r="AG48" s="2" t="n">
        <f aca="false">INDEX(MoPriority,37)*1000+37</f>
        <v>4037</v>
      </c>
      <c r="AH48" s="2" t="str">
        <f aca="false">IF($AF48=0,"",SUMIFS(MoMin,$AF$12:$AF$54,1,$AG$12:$AG$54,"&lt;="&amp;$AG48))</f>
        <v/>
      </c>
      <c r="AI48" s="2" t="n">
        <f aca="false">IF(AND($AF48=1,$AH48&lt;=$B$7),1,0)</f>
        <v>0</v>
      </c>
      <c r="AJ48" s="2" t="n">
        <f aca="false">INDEX(MoTypeN,37)*1000+37</f>
        <v>3037</v>
      </c>
      <c r="AK48" s="2" t="str">
        <f aca="false">IF($AI48=0,"",COUNTIFS($AI$12:$AI$54,1,$AJ$12:$AJ$54,"&lt;"&amp;$AJ48)+1)</f>
        <v/>
      </c>
    </row>
    <row r="49" customFormat="false" ht="30" hidden="false" customHeight="true" outlineLevel="0" collapsed="false">
      <c r="A49" s="19" t="n">
        <v>20</v>
      </c>
      <c r="B49" s="41"/>
      <c r="C49" s="42" t="str">
        <f aca="false">IF($B49="","",IFERROR(INDEX(ExEquip,MATCH($B49,ExName,0)),"?"))</f>
        <v/>
      </c>
      <c r="D49" s="42" t="str">
        <f aca="false">IF($B49="","",IFERROR(INDEX(ExPattern,MATCH($B49,ExName,0)),"?"))</f>
        <v/>
      </c>
      <c r="E49" s="42" t="str">
        <f aca="false">IF($B49="","",IFERROR(INDEX(ExPrimary,MATCH($B49,ExName,0)),"?"))</f>
        <v/>
      </c>
      <c r="F49" s="43" t="str">
        <f aca="false">IF($B49="","",IFERROR(INDEX(ExSecondary,MATCH($B49,ExName,0)),""))</f>
        <v/>
      </c>
      <c r="G49" s="42" t="str">
        <f aca="false">IF($B49="","",IFERROR(INDEX(ExProfile,MATCH($B49,ExName,0)),"?"))</f>
        <v/>
      </c>
      <c r="H49" s="35" t="str">
        <f aca="false">IF($G49="","",IFERROR(INDEX(PrSets,MATCH($G49&amp;"|"&amp;$B$5,PrKey,0)),"?"))</f>
        <v/>
      </c>
      <c r="I49" s="35" t="str">
        <f aca="false">IF($G49="","",IFERROR(INDEX(PrReps,MATCH($G49&amp;"|"&amp;$B$5,PrKey,0)),"?"))</f>
        <v/>
      </c>
      <c r="J49" s="35" t="str">
        <f aca="false">IF($G49="","",IFERROR(INDEX(PrLoad,MATCH($G49&amp;"|"&amp;$B$5,PrKey,0)),"?"))</f>
        <v/>
      </c>
      <c r="K49" s="35" t="str">
        <f aca="false">IF($B49="","",IF(N($S49)=0,"Bodyweight / RPE",IF(N($R49)=0,"Enter 1RM in library",TEXT(MROUND($R49*$S49,2.5),"0.0")&amp;"–"&amp;TEXT(MROUND($R49*$T49,2.5),"0.0")&amp;" kg")))</f>
        <v/>
      </c>
      <c r="L49" s="35" t="str">
        <f aca="false">IF($G49="","",IFERROR(INDEX(PrRest,MATCH($G49&amp;"|"&amp;$B$5,PrKey,0)),"?"))</f>
        <v/>
      </c>
      <c r="M49" s="43" t="str">
        <f aca="false">IF($G49="","",IFERROR(INDEX(PrNote,MATCH($G49&amp;"|"&amp;$B$5,PrKey,0)),""))</f>
        <v/>
      </c>
      <c r="N49" s="44"/>
      <c r="O49" s="45"/>
      <c r="P49" s="35" t="str">
        <f aca="false">IF(OR($B49="",$U49=""),"",IF($U49=0,0,ROUND(($U49*($V49+$W49)+TimeSetup)/60,0)))</f>
        <v/>
      </c>
      <c r="Q49" s="2"/>
      <c r="R49" s="2" t="str">
        <f aca="false">IF($B49="","",IFERROR(INDEX(Ex1RM,MATCH($B49,ExName,0)),""))</f>
        <v/>
      </c>
      <c r="S49" s="2" t="str">
        <f aca="false">IF($G49="","",IFERROR(INDEX(PrMin,MATCH($G49&amp;"|"&amp;$B$5,PrKey,0)),""))</f>
        <v/>
      </c>
      <c r="T49" s="2" t="str">
        <f aca="false">IF($G49="","",IFERROR(INDEX(PrMax,MATCH($G49&amp;"|"&amp;$B$5,PrKey,0)),""))</f>
        <v/>
      </c>
      <c r="U49" s="2" t="str">
        <f aca="false">IF($G49="","",IFERROR(INDEX(PrSetsN,MATCH($G49&amp;"|"&amp;$B$5,PrKey,0)),""))</f>
        <v/>
      </c>
      <c r="V49" s="2" t="str">
        <f aca="false">IF($G49="","",IFERROR(INDEX(PrWorkS,MATCH($G49&amp;"|"&amp;$B$5,PrKey,0)),""))</f>
        <v/>
      </c>
      <c r="W49" s="2" t="str">
        <f aca="false">IF($G49="","",IFERROR(INDEX(PrRestS,MATCH($G49&amp;"|"&amp;$B$5,PrKey,0)),""))</f>
        <v/>
      </c>
      <c r="X49" s="2"/>
      <c r="Y49" s="2" t="n">
        <f aca="false">IF(OR(INDEX(WuTrigger,38)="Always",COUNTIF($D$30:$D$51,INDEX(WuTrigger,38))&gt;0,COUNTIF($E$30:$E$51,INDEX(WuTrigger,38))&gt;0),1,0)</f>
        <v>1</v>
      </c>
      <c r="Z49" s="2" t="n">
        <f aca="false">INDEX(WuPriority,38)*1000+38</f>
        <v>6038</v>
      </c>
      <c r="AA49" s="2" t="n">
        <f aca="false">IF($Y49=0,"",SUMIFS(WuMin,$Y$12:$Y$60,1,$Z$12:$Z$60,"&lt;="&amp;$Z49))</f>
        <v>47</v>
      </c>
      <c r="AB49" s="2" t="n">
        <f aca="false">IF(AND($Y49=1,$AA49&lt;=$B$6),1,0)</f>
        <v>0</v>
      </c>
      <c r="AC49" s="2" t="n">
        <f aca="false">INDEX(WuPhaseN,38)*1000+38</f>
        <v>2038</v>
      </c>
      <c r="AD49" s="2" t="str">
        <f aca="false">IF($AB49=0,"",COUNTIFS($AB$12:$AB$60,1,$AC$12:$AC$60,"&lt;"&amp;$AC49)+1)</f>
        <v/>
      </c>
      <c r="AE49" s="2"/>
      <c r="AF49" s="2" t="n">
        <f aca="false">IF(OR(INDEX(MoTarget,38)="Always",COUNTIF($E$30:$E$51,INDEX(MoTarget,38))&gt;0,COUNTIF($F$30:$F$51,"*"&amp;INDEX(MoTarget,38)&amp;"*")&gt;0),1,0)</f>
        <v>1</v>
      </c>
      <c r="AG49" s="2" t="n">
        <f aca="false">INDEX(MoPriority,38)*1000+38</f>
        <v>3038</v>
      </c>
      <c r="AH49" s="2" t="n">
        <f aca="false">IF($AF49=0,"",SUMIFS(MoMin,$AF$12:$AF$54,1,$AG$12:$AG$54,"&lt;="&amp;$AG49))</f>
        <v>43</v>
      </c>
      <c r="AI49" s="2" t="n">
        <f aca="false">IF(AND($AF49=1,$AH49&lt;=$B$7),1,0)</f>
        <v>0</v>
      </c>
      <c r="AJ49" s="2" t="n">
        <f aca="false">INDEX(MoTypeN,38)*1000+38</f>
        <v>3038</v>
      </c>
      <c r="AK49" s="2" t="str">
        <f aca="false">IF($AI49=0,"",COUNTIFS($AI$12:$AI$54,1,$AJ$12:$AJ$54,"&lt;"&amp;$AJ49)+1)</f>
        <v/>
      </c>
    </row>
    <row r="50" customFormat="false" ht="30" hidden="false" customHeight="true" outlineLevel="0" collapsed="false">
      <c r="A50" s="19" t="n">
        <v>21</v>
      </c>
      <c r="B50" s="41"/>
      <c r="C50" s="42" t="str">
        <f aca="false">IF($B50="","",IFERROR(INDEX(ExEquip,MATCH($B50,ExName,0)),"?"))</f>
        <v/>
      </c>
      <c r="D50" s="42" t="str">
        <f aca="false">IF($B50="","",IFERROR(INDEX(ExPattern,MATCH($B50,ExName,0)),"?"))</f>
        <v/>
      </c>
      <c r="E50" s="42" t="str">
        <f aca="false">IF($B50="","",IFERROR(INDEX(ExPrimary,MATCH($B50,ExName,0)),"?"))</f>
        <v/>
      </c>
      <c r="F50" s="43" t="str">
        <f aca="false">IF($B50="","",IFERROR(INDEX(ExSecondary,MATCH($B50,ExName,0)),""))</f>
        <v/>
      </c>
      <c r="G50" s="42" t="str">
        <f aca="false">IF($B50="","",IFERROR(INDEX(ExProfile,MATCH($B50,ExName,0)),"?"))</f>
        <v/>
      </c>
      <c r="H50" s="35" t="str">
        <f aca="false">IF($G50="","",IFERROR(INDEX(PrSets,MATCH($G50&amp;"|"&amp;$B$5,PrKey,0)),"?"))</f>
        <v/>
      </c>
      <c r="I50" s="35" t="str">
        <f aca="false">IF($G50="","",IFERROR(INDEX(PrReps,MATCH($G50&amp;"|"&amp;$B$5,PrKey,0)),"?"))</f>
        <v/>
      </c>
      <c r="J50" s="35" t="str">
        <f aca="false">IF($G50="","",IFERROR(INDEX(PrLoad,MATCH($G50&amp;"|"&amp;$B$5,PrKey,0)),"?"))</f>
        <v/>
      </c>
      <c r="K50" s="35" t="str">
        <f aca="false">IF($B50="","",IF(N($S50)=0,"Bodyweight / RPE",IF(N($R50)=0,"Enter 1RM in library",TEXT(MROUND($R50*$S50,2.5),"0.0")&amp;"–"&amp;TEXT(MROUND($R50*$T50,2.5),"0.0")&amp;" kg")))</f>
        <v/>
      </c>
      <c r="L50" s="35" t="str">
        <f aca="false">IF($G50="","",IFERROR(INDEX(PrRest,MATCH($G50&amp;"|"&amp;$B$5,PrKey,0)),"?"))</f>
        <v/>
      </c>
      <c r="M50" s="43" t="str">
        <f aca="false">IF($G50="","",IFERROR(INDEX(PrNote,MATCH($G50&amp;"|"&amp;$B$5,PrKey,0)),""))</f>
        <v/>
      </c>
      <c r="N50" s="44"/>
      <c r="O50" s="45"/>
      <c r="P50" s="35" t="str">
        <f aca="false">IF(OR($B50="",$U50=""),"",IF($U50=0,0,ROUND(($U50*($V50+$W50)+TimeSetup)/60,0)))</f>
        <v/>
      </c>
      <c r="Q50" s="2"/>
      <c r="R50" s="2" t="str">
        <f aca="false">IF($B50="","",IFERROR(INDEX(Ex1RM,MATCH($B50,ExName,0)),""))</f>
        <v/>
      </c>
      <c r="S50" s="2" t="str">
        <f aca="false">IF($G50="","",IFERROR(INDEX(PrMin,MATCH($G50&amp;"|"&amp;$B$5,PrKey,0)),""))</f>
        <v/>
      </c>
      <c r="T50" s="2" t="str">
        <f aca="false">IF($G50="","",IFERROR(INDEX(PrMax,MATCH($G50&amp;"|"&amp;$B$5,PrKey,0)),""))</f>
        <v/>
      </c>
      <c r="U50" s="2" t="str">
        <f aca="false">IF($G50="","",IFERROR(INDEX(PrSetsN,MATCH($G50&amp;"|"&amp;$B$5,PrKey,0)),""))</f>
        <v/>
      </c>
      <c r="V50" s="2" t="str">
        <f aca="false">IF($G50="","",IFERROR(INDEX(PrWorkS,MATCH($G50&amp;"|"&amp;$B$5,PrKey,0)),""))</f>
        <v/>
      </c>
      <c r="W50" s="2" t="str">
        <f aca="false">IF($G50="","",IFERROR(INDEX(PrRestS,MATCH($G50&amp;"|"&amp;$B$5,PrKey,0)),""))</f>
        <v/>
      </c>
      <c r="X50" s="2"/>
      <c r="Y50" s="2" t="n">
        <f aca="false">IF(OR(INDEX(WuTrigger,39)="Always",COUNTIF($D$30:$D$51,INDEX(WuTrigger,39))&gt;0,COUNTIF($E$30:$E$51,INDEX(WuTrigger,39))&gt;0),1,0)</f>
        <v>0</v>
      </c>
      <c r="Z50" s="2" t="n">
        <f aca="false">INDEX(WuPriority,39)*1000+39</f>
        <v>5039</v>
      </c>
      <c r="AA50" s="2" t="str">
        <f aca="false">IF($Y50=0,"",SUMIFS(WuMin,$Y$12:$Y$60,1,$Z$12:$Z$60,"&lt;="&amp;$Z50))</f>
        <v/>
      </c>
      <c r="AB50" s="2" t="n">
        <f aca="false">IF(AND($Y50=1,$AA50&lt;=$B$6),1,0)</f>
        <v>0</v>
      </c>
      <c r="AC50" s="2" t="n">
        <f aca="false">INDEX(WuPhaseN,39)*1000+39</f>
        <v>3039</v>
      </c>
      <c r="AD50" s="2" t="str">
        <f aca="false">IF($AB50=0,"",COUNTIFS($AB$12:$AB$60,1,$AC$12:$AC$60,"&lt;"&amp;$AC50)+1)</f>
        <v/>
      </c>
      <c r="AE50" s="2"/>
      <c r="AF50" s="2" t="n">
        <f aca="false">IF(OR(INDEX(MoTarget,39)="Always",COUNTIF($E$30:$E$51,INDEX(MoTarget,39))&gt;0,COUNTIF($F$30:$F$51,"*"&amp;INDEX(MoTarget,39)&amp;"*")&gt;0),1,0)</f>
        <v>1</v>
      </c>
      <c r="AG50" s="2" t="n">
        <f aca="false">INDEX(MoPriority,39)*1000+39</f>
        <v>3039</v>
      </c>
      <c r="AH50" s="2" t="n">
        <f aca="false">IF($AF50=0,"",SUMIFS(MoMin,$AF$12:$AF$54,1,$AG$12:$AG$54,"&lt;="&amp;$AG50))</f>
        <v>45</v>
      </c>
      <c r="AI50" s="2" t="n">
        <f aca="false">IF(AND($AF50=1,$AH50&lt;=$B$7),1,0)</f>
        <v>0</v>
      </c>
      <c r="AJ50" s="2" t="n">
        <f aca="false">INDEX(MoTypeN,39)*1000+39</f>
        <v>3039</v>
      </c>
      <c r="AK50" s="2" t="str">
        <f aca="false">IF($AI50=0,"",COUNTIFS($AI$12:$AI$54,1,$AJ$12:$AJ$54,"&lt;"&amp;$AJ50)+1)</f>
        <v/>
      </c>
    </row>
    <row r="51" customFormat="false" ht="30" hidden="false" customHeight="true" outlineLevel="0" collapsed="false">
      <c r="A51" s="19" t="n">
        <v>22</v>
      </c>
      <c r="B51" s="41"/>
      <c r="C51" s="42" t="str">
        <f aca="false">IF($B51="","",IFERROR(INDEX(ExEquip,MATCH($B51,ExName,0)),"?"))</f>
        <v/>
      </c>
      <c r="D51" s="42" t="str">
        <f aca="false">IF($B51="","",IFERROR(INDEX(ExPattern,MATCH($B51,ExName,0)),"?"))</f>
        <v/>
      </c>
      <c r="E51" s="42" t="str">
        <f aca="false">IF($B51="","",IFERROR(INDEX(ExPrimary,MATCH($B51,ExName,0)),"?"))</f>
        <v/>
      </c>
      <c r="F51" s="43" t="str">
        <f aca="false">IF($B51="","",IFERROR(INDEX(ExSecondary,MATCH($B51,ExName,0)),""))</f>
        <v/>
      </c>
      <c r="G51" s="42" t="str">
        <f aca="false">IF($B51="","",IFERROR(INDEX(ExProfile,MATCH($B51,ExName,0)),"?"))</f>
        <v/>
      </c>
      <c r="H51" s="35" t="str">
        <f aca="false">IF($G51="","",IFERROR(INDEX(PrSets,MATCH($G51&amp;"|"&amp;$B$5,PrKey,0)),"?"))</f>
        <v/>
      </c>
      <c r="I51" s="35" t="str">
        <f aca="false">IF($G51="","",IFERROR(INDEX(PrReps,MATCH($G51&amp;"|"&amp;$B$5,PrKey,0)),"?"))</f>
        <v/>
      </c>
      <c r="J51" s="35" t="str">
        <f aca="false">IF($G51="","",IFERROR(INDEX(PrLoad,MATCH($G51&amp;"|"&amp;$B$5,PrKey,0)),"?"))</f>
        <v/>
      </c>
      <c r="K51" s="35" t="str">
        <f aca="false">IF($B51="","",IF(N($S51)=0,"Bodyweight / RPE",IF(N($R51)=0,"Enter 1RM in library",TEXT(MROUND($R51*$S51,2.5),"0.0")&amp;"–"&amp;TEXT(MROUND($R51*$T51,2.5),"0.0")&amp;" kg")))</f>
        <v/>
      </c>
      <c r="L51" s="35" t="str">
        <f aca="false">IF($G51="","",IFERROR(INDEX(PrRest,MATCH($G51&amp;"|"&amp;$B$5,PrKey,0)),"?"))</f>
        <v/>
      </c>
      <c r="M51" s="43" t="str">
        <f aca="false">IF($G51="","",IFERROR(INDEX(PrNote,MATCH($G51&amp;"|"&amp;$B$5,PrKey,0)),""))</f>
        <v/>
      </c>
      <c r="N51" s="44"/>
      <c r="O51" s="45"/>
      <c r="P51" s="35" t="str">
        <f aca="false">IF(OR($B51="",$U51=""),"",IF($U51=0,0,ROUND(($U51*($V51+$W51)+TimeSetup)/60,0)))</f>
        <v/>
      </c>
      <c r="Q51" s="2"/>
      <c r="R51" s="2" t="str">
        <f aca="false">IF($B51="","",IFERROR(INDEX(Ex1RM,MATCH($B51,ExName,0)),""))</f>
        <v/>
      </c>
      <c r="S51" s="2" t="str">
        <f aca="false">IF($G51="","",IFERROR(INDEX(PrMin,MATCH($G51&amp;"|"&amp;$B$5,PrKey,0)),""))</f>
        <v/>
      </c>
      <c r="T51" s="2" t="str">
        <f aca="false">IF($G51="","",IFERROR(INDEX(PrMax,MATCH($G51&amp;"|"&amp;$B$5,PrKey,0)),""))</f>
        <v/>
      </c>
      <c r="U51" s="2" t="str">
        <f aca="false">IF($G51="","",IFERROR(INDEX(PrSetsN,MATCH($G51&amp;"|"&amp;$B$5,PrKey,0)),""))</f>
        <v/>
      </c>
      <c r="V51" s="2" t="str">
        <f aca="false">IF($G51="","",IFERROR(INDEX(PrWorkS,MATCH($G51&amp;"|"&amp;$B$5,PrKey,0)),""))</f>
        <v/>
      </c>
      <c r="W51" s="2" t="str">
        <f aca="false">IF($G51="","",IFERROR(INDEX(PrRestS,MATCH($G51&amp;"|"&amp;$B$5,PrKey,0)),""))</f>
        <v/>
      </c>
      <c r="X51" s="2"/>
      <c r="Y51" s="2" t="n">
        <f aca="false">IF(OR(INDEX(WuTrigger,40)="Always",COUNTIF($D$30:$D$51,INDEX(WuTrigger,40))&gt;0,COUNTIF($E$30:$E$51,INDEX(WuTrigger,40))&gt;0),1,0)</f>
        <v>0</v>
      </c>
      <c r="Z51" s="2" t="n">
        <f aca="false">INDEX(WuPriority,40)*1000+40</f>
        <v>5040</v>
      </c>
      <c r="AA51" s="2" t="str">
        <f aca="false">IF($Y51=0,"",SUMIFS(WuMin,$Y$12:$Y$60,1,$Z$12:$Z$60,"&lt;="&amp;$Z51))</f>
        <v/>
      </c>
      <c r="AB51" s="2" t="n">
        <f aca="false">IF(AND($Y51=1,$AA51&lt;=$B$6),1,0)</f>
        <v>0</v>
      </c>
      <c r="AC51" s="2" t="n">
        <f aca="false">INDEX(WuPhaseN,40)*1000+40</f>
        <v>2040</v>
      </c>
      <c r="AD51" s="2" t="str">
        <f aca="false">IF($AB51=0,"",COUNTIFS($AB$12:$AB$60,1,$AC$12:$AC$60,"&lt;"&amp;$AC51)+1)</f>
        <v/>
      </c>
      <c r="AE51" s="2"/>
      <c r="AF51" s="2" t="n">
        <f aca="false">IF(OR(INDEX(MoTarget,40)="Always",COUNTIF($E$30:$E$51,INDEX(MoTarget,40))&gt;0,COUNTIF($F$30:$F$51,"*"&amp;INDEX(MoTarget,40)&amp;"*")&gt;0),1,0)</f>
        <v>1</v>
      </c>
      <c r="AG51" s="2" t="n">
        <f aca="false">INDEX(MoPriority,40)*1000+40</f>
        <v>3040</v>
      </c>
      <c r="AH51" s="2" t="n">
        <f aca="false">IF($AF51=0,"",SUMIFS(MoMin,$AF$12:$AF$54,1,$AG$12:$AG$54,"&lt;="&amp;$AG51))</f>
        <v>47</v>
      </c>
      <c r="AI51" s="2" t="n">
        <f aca="false">IF(AND($AF51=1,$AH51&lt;=$B$7),1,0)</f>
        <v>0</v>
      </c>
      <c r="AJ51" s="2" t="n">
        <f aca="false">INDEX(MoTypeN,40)*1000+40</f>
        <v>3040</v>
      </c>
      <c r="AK51" s="2" t="str">
        <f aca="false">IF($AI51=0,"",COUNTIFS($AI$12:$AI$54,1,$AJ$12:$AJ$54,"&lt;"&amp;$AJ51)+1)</f>
        <v/>
      </c>
    </row>
    <row r="52" customFormat="false" ht="15" hidden="false" customHeight="false" outlineLevel="0" collapsed="false">
      <c r="A52" s="38" t="s">
        <v>1037</v>
      </c>
      <c r="B52" s="39"/>
      <c r="C52" s="39"/>
      <c r="D52" s="39"/>
      <c r="E52" s="39"/>
      <c r="F52" s="39"/>
      <c r="G52" s="39"/>
      <c r="H52" s="39"/>
      <c r="I52" s="39"/>
      <c r="J52" s="39"/>
      <c r="K52" s="39"/>
      <c r="L52" s="39"/>
      <c r="M52" s="39"/>
      <c r="N52" s="39"/>
      <c r="O52" s="39"/>
      <c r="P52" s="40" t="n">
        <f aca="false">SUM($P$30:$P$51)</f>
        <v>78</v>
      </c>
      <c r="Q52" s="2"/>
      <c r="R52" s="2"/>
      <c r="S52" s="2"/>
      <c r="T52" s="2"/>
      <c r="U52" s="2"/>
      <c r="V52" s="2"/>
      <c r="W52" s="2"/>
      <c r="X52" s="2"/>
      <c r="Y52" s="2" t="n">
        <f aca="false">IF(OR(INDEX(WuTrigger,41)="Always",COUNTIF($D$30:$D$51,INDEX(WuTrigger,41))&gt;0,COUNTIF($E$30:$E$51,INDEX(WuTrigger,41))&gt;0),1,0)</f>
        <v>1</v>
      </c>
      <c r="Z52" s="2" t="n">
        <f aca="false">INDEX(WuPriority,41)*1000+41</f>
        <v>7041</v>
      </c>
      <c r="AA52" s="2" t="n">
        <f aca="false">IF($Y52=0,"",SUMIFS(WuMin,$Y$12:$Y$60,1,$Z$12:$Z$60,"&lt;="&amp;$Z52))</f>
        <v>49</v>
      </c>
      <c r="AB52" s="2" t="n">
        <f aca="false">IF(AND($Y52=1,$AA52&lt;=$B$6),1,0)</f>
        <v>0</v>
      </c>
      <c r="AC52" s="2" t="n">
        <f aca="false">INDEX(WuPhaseN,41)*1000+41</f>
        <v>2041</v>
      </c>
      <c r="AD52" s="2" t="str">
        <f aca="false">IF($AB52=0,"",COUNTIFS($AB$12:$AB$60,1,$AC$12:$AC$60,"&lt;"&amp;$AC52)+1)</f>
        <v/>
      </c>
      <c r="AE52" s="2"/>
      <c r="AF52" s="2" t="n">
        <f aca="false">IF(OR(INDEX(MoTarget,41)="Always",COUNTIF($E$30:$E$51,INDEX(MoTarget,41))&gt;0,COUNTIF($F$30:$F$51,"*"&amp;INDEX(MoTarget,41)&amp;"*")&gt;0),1,0)</f>
        <v>1</v>
      </c>
      <c r="AG52" s="2" t="n">
        <f aca="false">INDEX(MoPriority,41)*1000+41</f>
        <v>4041</v>
      </c>
      <c r="AH52" s="2" t="n">
        <f aca="false">IF($AF52=0,"",SUMIFS(MoMin,$AF$12:$AF$54,1,$AG$12:$AG$54,"&lt;="&amp;$AG52))</f>
        <v>66</v>
      </c>
      <c r="AI52" s="2" t="n">
        <f aca="false">IF(AND($AF52=1,$AH52&lt;=$B$7),1,0)</f>
        <v>0</v>
      </c>
      <c r="AJ52" s="2" t="n">
        <f aca="false">INDEX(MoTypeN,41)*1000+41</f>
        <v>3041</v>
      </c>
      <c r="AK52" s="2" t="str">
        <f aca="false">IF($AI52=0,"",COUNTIFS($AI$12:$AI$54,1,$AJ$12:$AJ$54,"&lt;"&amp;$AJ52)+1)</f>
        <v/>
      </c>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t="n">
        <f aca="false">IF(OR(INDEX(WuTrigger,42)="Always",COUNTIF($D$30:$D$51,INDEX(WuTrigger,42))&gt;0,COUNTIF($E$30:$E$51,INDEX(WuTrigger,42))&gt;0),1,0)</f>
        <v>0</v>
      </c>
      <c r="Z53" s="2" t="n">
        <f aca="false">INDEX(WuPriority,42)*1000+42</f>
        <v>6042</v>
      </c>
      <c r="AA53" s="2" t="str">
        <f aca="false">IF($Y53=0,"",SUMIFS(WuMin,$Y$12:$Y$60,1,$Z$12:$Z$60,"&lt;="&amp;$Z53))</f>
        <v/>
      </c>
      <c r="AB53" s="2" t="n">
        <f aca="false">IF(AND($Y53=1,$AA53&lt;=$B$6),1,0)</f>
        <v>0</v>
      </c>
      <c r="AC53" s="2" t="n">
        <f aca="false">INDEX(WuPhaseN,42)*1000+42</f>
        <v>3042</v>
      </c>
      <c r="AD53" s="2" t="str">
        <f aca="false">IF($AB53=0,"",COUNTIFS($AB$12:$AB$60,1,$AC$12:$AC$60,"&lt;"&amp;$AC53)+1)</f>
        <v/>
      </c>
      <c r="AE53" s="2"/>
      <c r="AF53" s="2" t="n">
        <f aca="false">IF(OR(INDEX(MoTarget,42)="Always",COUNTIF($E$30:$E$51,INDEX(MoTarget,42))&gt;0,COUNTIF($F$30:$F$51,"*"&amp;INDEX(MoTarget,42)&amp;"*")&gt;0),1,0)</f>
        <v>1</v>
      </c>
      <c r="AG53" s="2" t="n">
        <f aca="false">INDEX(MoPriority,42)*1000+42</f>
        <v>3042</v>
      </c>
      <c r="AH53" s="2" t="n">
        <f aca="false">IF($AF53=0,"",SUMIFS(MoMin,$AF$12:$AF$54,1,$AG$12:$AG$54,"&lt;="&amp;$AG53))</f>
        <v>50</v>
      </c>
      <c r="AI53" s="2" t="n">
        <f aca="false">IF(AND($AF53=1,$AH53&lt;=$B$7),1,0)</f>
        <v>0</v>
      </c>
      <c r="AJ53" s="2" t="n">
        <f aca="false">INDEX(MoTypeN,42)*1000+42</f>
        <v>5042</v>
      </c>
      <c r="AK53" s="2" t="str">
        <f aca="false">IF($AI53=0,"",COUNTIFS($AI$12:$AI$54,1,$AJ$12:$AJ$54,"&lt;"&amp;$AJ53)+1)</f>
        <v/>
      </c>
    </row>
    <row r="54" customFormat="false" ht="19.5" hidden="false" customHeight="true" outlineLevel="0" collapsed="false">
      <c r="A54" s="33" t="s">
        <v>1038</v>
      </c>
      <c r="B54" s="33"/>
      <c r="C54" s="33"/>
      <c r="D54" s="33"/>
      <c r="E54" s="33"/>
      <c r="F54" s="33"/>
      <c r="G54" s="33"/>
      <c r="H54" s="33"/>
      <c r="I54" s="33"/>
      <c r="J54" s="33"/>
      <c r="K54" s="33"/>
      <c r="L54" s="33"/>
      <c r="M54" s="33"/>
      <c r="N54" s="33"/>
      <c r="O54" s="33"/>
      <c r="P54" s="33"/>
      <c r="Q54" s="2"/>
      <c r="R54" s="2"/>
      <c r="S54" s="2"/>
      <c r="T54" s="2"/>
      <c r="U54" s="2"/>
      <c r="V54" s="2"/>
      <c r="W54" s="2"/>
      <c r="X54" s="2"/>
      <c r="Y54" s="2" t="n">
        <f aca="false">IF(OR(INDEX(WuTrigger,43)="Always",COUNTIF($D$30:$D$51,INDEX(WuTrigger,43))&gt;0,COUNTIF($E$30:$E$51,INDEX(WuTrigger,43))&gt;0),1,0)</f>
        <v>0</v>
      </c>
      <c r="Z54" s="2" t="n">
        <f aca="false">INDEX(WuPriority,43)*1000+43</f>
        <v>6043</v>
      </c>
      <c r="AA54" s="2" t="str">
        <f aca="false">IF($Y54=0,"",SUMIFS(WuMin,$Y$12:$Y$60,1,$Z$12:$Z$60,"&lt;="&amp;$Z54))</f>
        <v/>
      </c>
      <c r="AB54" s="2" t="n">
        <f aca="false">IF(AND($Y54=1,$AA54&lt;=$B$6),1,0)</f>
        <v>0</v>
      </c>
      <c r="AC54" s="2" t="n">
        <f aca="false">INDEX(WuPhaseN,43)*1000+43</f>
        <v>2043</v>
      </c>
      <c r="AD54" s="2" t="str">
        <f aca="false">IF($AB54=0,"",COUNTIFS($AB$12:$AB$60,1,$AC$12:$AC$60,"&lt;"&amp;$AC54)+1)</f>
        <v/>
      </c>
      <c r="AE54" s="2"/>
      <c r="AF54" s="2" t="n">
        <f aca="false">IF(OR(INDEX(MoTarget,43)="Always",COUNTIF($E$30:$E$51,INDEX(MoTarget,43))&gt;0,COUNTIF($F$30:$F$51,"*"&amp;INDEX(MoTarget,43)&amp;"*")&gt;0),1,0)</f>
        <v>1</v>
      </c>
      <c r="AG54" s="2" t="n">
        <f aca="false">INDEX(MoPriority,43)*1000+43</f>
        <v>4043</v>
      </c>
      <c r="AH54" s="2" t="n">
        <f aca="false">IF($AF54=0,"",SUMIFS(MoMin,$AF$12:$AF$54,1,$AG$12:$AG$54,"&lt;="&amp;$AG54))</f>
        <v>68</v>
      </c>
      <c r="AI54" s="2" t="n">
        <f aca="false">IF(AND($AF54=1,$AH54&lt;=$B$7),1,0)</f>
        <v>0</v>
      </c>
      <c r="AJ54" s="2" t="n">
        <f aca="false">INDEX(MoTypeN,43)*1000+43</f>
        <v>5043</v>
      </c>
      <c r="AK54" s="2" t="str">
        <f aca="false">IF($AI54=0,"",COUNTIFS($AI$12:$AI$54,1,$AJ$12:$AJ$54,"&lt;"&amp;$AJ54)+1)</f>
        <v/>
      </c>
    </row>
    <row r="55" customFormat="false" ht="19.5" hidden="false" customHeight="true" outlineLevel="0" collapsed="false">
      <c r="A55" s="9" t="s">
        <v>1023</v>
      </c>
      <c r="B55" s="9" t="s">
        <v>52</v>
      </c>
      <c r="C55" s="9" t="s">
        <v>789</v>
      </c>
      <c r="D55" s="9" t="s">
        <v>791</v>
      </c>
      <c r="E55" s="9" t="s">
        <v>1025</v>
      </c>
      <c r="F55" s="9" t="s">
        <v>654</v>
      </c>
      <c r="G55" s="34"/>
      <c r="H55" s="34"/>
      <c r="I55" s="34"/>
      <c r="J55" s="34"/>
      <c r="K55" s="34"/>
      <c r="L55" s="34"/>
      <c r="M55" s="34"/>
      <c r="N55" s="2"/>
      <c r="O55" s="2"/>
      <c r="P55" s="2"/>
      <c r="Q55" s="2"/>
      <c r="R55" s="2"/>
      <c r="S55" s="2"/>
      <c r="T55" s="2"/>
      <c r="U55" s="2"/>
      <c r="V55" s="2"/>
      <c r="W55" s="2"/>
      <c r="X55" s="2"/>
      <c r="Y55" s="2" t="n">
        <f aca="false">IF(OR(INDEX(WuTrigger,44)="Always",COUNTIF($D$30:$D$51,INDEX(WuTrigger,44))&gt;0,COUNTIF($E$30:$E$51,INDEX(WuTrigger,44))&gt;0),1,0)</f>
        <v>0</v>
      </c>
      <c r="Z55" s="2" t="n">
        <f aca="false">INDEX(WuPriority,44)*1000+44</f>
        <v>6044</v>
      </c>
      <c r="AA55" s="2" t="str">
        <f aca="false">IF($Y55=0,"",SUMIFS(WuMin,$Y$12:$Y$60,1,$Z$12:$Z$60,"&lt;="&amp;$Z55))</f>
        <v/>
      </c>
      <c r="AB55" s="2" t="n">
        <f aca="false">IF(AND($Y55=1,$AA55&lt;=$B$6),1,0)</f>
        <v>0</v>
      </c>
      <c r="AC55" s="2" t="n">
        <f aca="false">INDEX(WuPhaseN,44)*1000+44</f>
        <v>2044</v>
      </c>
      <c r="AD55" s="2" t="str">
        <f aca="false">IF($AB55=0,"",COUNTIFS($AB$12:$AB$60,1,$AC$12:$AC$60,"&lt;"&amp;$AC55)+1)</f>
        <v/>
      </c>
      <c r="AE55" s="2"/>
      <c r="AF55" s="2"/>
      <c r="AG55" s="2"/>
      <c r="AH55" s="2"/>
      <c r="AI55" s="2"/>
      <c r="AJ55" s="2"/>
      <c r="AK55" s="2"/>
    </row>
    <row r="56" customFormat="false" ht="24" hidden="false" customHeight="true" outlineLevel="0" collapsed="false">
      <c r="A56" s="35" t="n">
        <v>1</v>
      </c>
      <c r="B56" s="36" t="str">
        <f aca="false">IFERROR(INDEX(MoName,MATCH(1,$AK$12:$AK$54,0)),"")</f>
        <v>Cat-Cow</v>
      </c>
      <c r="C56" s="36" t="str">
        <f aca="false">IF($B56="","",INDEX(MoType,MATCH(1,$AK$12:$AK$54,0)))</f>
        <v>Flow</v>
      </c>
      <c r="D56" s="36" t="str">
        <f aca="false">IF($B56="","",INDEX(MoTarget,MATCH(1,$AK$12:$AK$54,0)))</f>
        <v>Always</v>
      </c>
      <c r="E56" s="35" t="n">
        <f aca="false">IF($B56="","",INDEX(MoMin,MATCH(1,$AK$12:$AK$54,0)))</f>
        <v>2</v>
      </c>
      <c r="F56" s="37" t="str">
        <f aca="false">IF($B56="","",INDEX(MoHow,MATCH(1,$AK$12:$AK$54,0)))</f>
        <v>On all fours. Inhale into extension, exhale into flexion. 10 slow cycles.</v>
      </c>
      <c r="G56" s="37"/>
      <c r="H56" s="37"/>
      <c r="I56" s="37"/>
      <c r="J56" s="37"/>
      <c r="K56" s="37"/>
      <c r="L56" s="37"/>
      <c r="M56" s="37"/>
      <c r="N56" s="2"/>
      <c r="O56" s="2"/>
      <c r="P56" s="2"/>
      <c r="Q56" s="2"/>
      <c r="R56" s="2"/>
      <c r="S56" s="2"/>
      <c r="T56" s="2"/>
      <c r="U56" s="2"/>
      <c r="V56" s="2"/>
      <c r="W56" s="2"/>
      <c r="X56" s="2"/>
      <c r="Y56" s="2" t="n">
        <f aca="false">IF(OR(INDEX(WuTrigger,45)="Always",COUNTIF($D$30:$D$51,INDEX(WuTrigger,45))&gt;0,COUNTIF($E$30:$E$51,INDEX(WuTrigger,45))&gt;0),1,0)</f>
        <v>0</v>
      </c>
      <c r="Z56" s="2" t="n">
        <f aca="false">INDEX(WuPriority,45)*1000+45</f>
        <v>7045</v>
      </c>
      <c r="AA56" s="2" t="str">
        <f aca="false">IF($Y56=0,"",SUMIFS(WuMin,$Y$12:$Y$60,1,$Z$12:$Z$60,"&lt;="&amp;$Z56))</f>
        <v/>
      </c>
      <c r="AB56" s="2" t="n">
        <f aca="false">IF(AND($Y56=1,$AA56&lt;=$B$6),1,0)</f>
        <v>0</v>
      </c>
      <c r="AC56" s="2" t="n">
        <f aca="false">INDEX(WuPhaseN,45)*1000+45</f>
        <v>2045</v>
      </c>
      <c r="AD56" s="2" t="str">
        <f aca="false">IF($AB56=0,"",COUNTIFS($AB$12:$AB$60,1,$AC$12:$AC$60,"&lt;"&amp;$AC56)+1)</f>
        <v/>
      </c>
      <c r="AE56" s="2"/>
      <c r="AF56" s="2"/>
      <c r="AG56" s="2"/>
      <c r="AH56" s="2"/>
      <c r="AI56" s="2"/>
      <c r="AJ56" s="2"/>
      <c r="AK56" s="2"/>
    </row>
    <row r="57" customFormat="false" ht="24" hidden="false" customHeight="true" outlineLevel="0" collapsed="false">
      <c r="A57" s="35" t="n">
        <v>2</v>
      </c>
      <c r="B57" s="36" t="str">
        <f aca="false">IFERROR(INDEX(MoName,MATCH(2,$AK$12:$AK$54,0)),"")</f>
        <v>Downward Dog</v>
      </c>
      <c r="C57" s="36" t="str">
        <f aca="false">IF($B57="","",INDEX(MoType,MATCH(2,$AK$12:$AK$54,0)))</f>
        <v>Flow</v>
      </c>
      <c r="D57" s="36" t="str">
        <f aca="false">IF($B57="","",INDEX(MoTarget,MATCH(2,$AK$12:$AK$54,0)))</f>
        <v>Always</v>
      </c>
      <c r="E57" s="35" t="n">
        <f aca="false">IF($B57="","",INDEX(MoMin,MATCH(2,$AK$12:$AK$54,0)))</f>
        <v>2</v>
      </c>
      <c r="F57" s="37" t="str">
        <f aca="false">IF($B57="","",INDEX(MoHow,MATCH(2,$AK$12:$AK$54,0)))</f>
        <v>Press the floor away, pedal the heels. Hold 60 s, twice.</v>
      </c>
      <c r="G57" s="37"/>
      <c r="H57" s="37"/>
      <c r="I57" s="37"/>
      <c r="J57" s="37"/>
      <c r="K57" s="37"/>
      <c r="L57" s="37"/>
      <c r="M57" s="37"/>
      <c r="N57" s="2"/>
      <c r="O57" s="2"/>
      <c r="P57" s="2"/>
      <c r="Q57" s="2"/>
      <c r="R57" s="2"/>
      <c r="S57" s="2"/>
      <c r="T57" s="2"/>
      <c r="U57" s="2"/>
      <c r="V57" s="2"/>
      <c r="W57" s="2"/>
      <c r="X57" s="2"/>
      <c r="Y57" s="2" t="n">
        <f aca="false">IF(OR(INDEX(WuTrigger,46)="Always",COUNTIF($D$30:$D$51,INDEX(WuTrigger,46))&gt;0,COUNTIF($E$30:$E$51,INDEX(WuTrigger,46))&gt;0),1,0)</f>
        <v>1</v>
      </c>
      <c r="Z57" s="2" t="n">
        <f aca="false">INDEX(WuPriority,46)*1000+46</f>
        <v>7046</v>
      </c>
      <c r="AA57" s="2" t="n">
        <f aca="false">IF($Y57=0,"",SUMIFS(WuMin,$Y$12:$Y$60,1,$Z$12:$Z$60,"&lt;="&amp;$Z57))</f>
        <v>51</v>
      </c>
      <c r="AB57" s="2" t="n">
        <f aca="false">IF(AND($Y57=1,$AA57&lt;=$B$6),1,0)</f>
        <v>0</v>
      </c>
      <c r="AC57" s="2" t="n">
        <f aca="false">INDEX(WuPhaseN,46)*1000+46</f>
        <v>3046</v>
      </c>
      <c r="AD57" s="2" t="str">
        <f aca="false">IF($AB57=0,"",COUNTIFS($AB$12:$AB$60,1,$AC$12:$AC$60,"&lt;"&amp;$AC57)+1)</f>
        <v/>
      </c>
      <c r="AE57" s="2"/>
      <c r="AF57" s="2"/>
      <c r="AG57" s="2"/>
      <c r="AH57" s="2"/>
      <c r="AI57" s="2"/>
      <c r="AJ57" s="2"/>
      <c r="AK57" s="2"/>
    </row>
    <row r="58" customFormat="false" ht="24" hidden="false" customHeight="true" outlineLevel="0" collapsed="false">
      <c r="A58" s="35" t="n">
        <v>3</v>
      </c>
      <c r="B58" s="36" t="str">
        <f aca="false">IFERROR(INDEX(MoName,MATCH(3,$AK$12:$AK$54,0)),"")</f>
        <v>Pigeon Pose</v>
      </c>
      <c r="C58" s="36" t="str">
        <f aca="false">IF($B58="","",INDEX(MoType,MATCH(3,$AK$12:$AK$54,0)))</f>
        <v>Lower body</v>
      </c>
      <c r="D58" s="36" t="str">
        <f aca="false">IF($B58="","",INDEX(MoTarget,MATCH(3,$AK$12:$AK$54,0)))</f>
        <v>Glutes</v>
      </c>
      <c r="E58" s="35" t="n">
        <f aca="false">IF($B58="","",INDEX(MoMin,MATCH(3,$AK$12:$AK$54,0)))</f>
        <v>3</v>
      </c>
      <c r="F58" s="37" t="str">
        <f aca="false">IF($B58="","",INDEX(MoHow,MATCH(3,$AK$12:$AK$54,0)))</f>
        <v>Front shin angled across the mat, hips square. 90 s per side.</v>
      </c>
      <c r="G58" s="37"/>
      <c r="H58" s="37"/>
      <c r="I58" s="37"/>
      <c r="J58" s="37"/>
      <c r="K58" s="37"/>
      <c r="L58" s="37"/>
      <c r="M58" s="37"/>
      <c r="N58" s="2"/>
      <c r="O58" s="2"/>
      <c r="P58" s="2"/>
      <c r="Q58" s="2"/>
      <c r="R58" s="2"/>
      <c r="S58" s="2"/>
      <c r="T58" s="2"/>
      <c r="U58" s="2"/>
      <c r="V58" s="2"/>
      <c r="W58" s="2"/>
      <c r="X58" s="2"/>
      <c r="Y58" s="2" t="n">
        <f aca="false">IF(OR(INDEX(WuTrigger,47)="Always",COUNTIF($D$30:$D$51,INDEX(WuTrigger,47))&gt;0,COUNTIF($E$30:$E$51,INDEX(WuTrigger,47))&gt;0),1,0)</f>
        <v>0</v>
      </c>
      <c r="Z58" s="2" t="n">
        <f aca="false">INDEX(WuPriority,47)*1000+47</f>
        <v>8047</v>
      </c>
      <c r="AA58" s="2" t="str">
        <f aca="false">IF($Y58=0,"",SUMIFS(WuMin,$Y$12:$Y$60,1,$Z$12:$Z$60,"&lt;="&amp;$Z58))</f>
        <v/>
      </c>
      <c r="AB58" s="2" t="n">
        <f aca="false">IF(AND($Y58=1,$AA58&lt;=$B$6),1,0)</f>
        <v>0</v>
      </c>
      <c r="AC58" s="2" t="n">
        <f aca="false">INDEX(WuPhaseN,47)*1000+47</f>
        <v>3047</v>
      </c>
      <c r="AD58" s="2" t="str">
        <f aca="false">IF($AB58=0,"",COUNTIFS($AB$12:$AB$60,1,$AC$12:$AC$60,"&lt;"&amp;$AC58)+1)</f>
        <v/>
      </c>
      <c r="AE58" s="2"/>
      <c r="AF58" s="2"/>
      <c r="AG58" s="2"/>
      <c r="AH58" s="2"/>
      <c r="AI58" s="2"/>
      <c r="AJ58" s="2"/>
      <c r="AK58" s="2"/>
    </row>
    <row r="59" customFormat="false" ht="24" hidden="false" customHeight="true" outlineLevel="0" collapsed="false">
      <c r="A59" s="35" t="n">
        <v>4</v>
      </c>
      <c r="B59" s="36" t="str">
        <f aca="false">IFERROR(INDEX(MoName,MATCH(4,$AK$12:$AK$54,0)),"")</f>
        <v/>
      </c>
      <c r="C59" s="36" t="str">
        <f aca="false">IF($B59="","",INDEX(MoType,MATCH(4,$AK$12:$AK$54,0)))</f>
        <v/>
      </c>
      <c r="D59" s="36" t="str">
        <f aca="false">IF($B59="","",INDEX(MoTarget,MATCH(4,$AK$12:$AK$54,0)))</f>
        <v/>
      </c>
      <c r="E59" s="35" t="str">
        <f aca="false">IF($B59="","",INDEX(MoMin,MATCH(4,$AK$12:$AK$54,0)))</f>
        <v/>
      </c>
      <c r="F59" s="37" t="str">
        <f aca="false">IF($B59="","",INDEX(MoHow,MATCH(4,$AK$12:$AK$54,0)))</f>
        <v/>
      </c>
      <c r="G59" s="37"/>
      <c r="H59" s="37"/>
      <c r="I59" s="37"/>
      <c r="J59" s="37"/>
      <c r="K59" s="37"/>
      <c r="L59" s="37"/>
      <c r="M59" s="37"/>
      <c r="N59" s="2"/>
      <c r="O59" s="2"/>
      <c r="P59" s="2"/>
      <c r="Q59" s="2"/>
      <c r="R59" s="2"/>
      <c r="S59" s="2"/>
      <c r="T59" s="2"/>
      <c r="U59" s="2"/>
      <c r="V59" s="2"/>
      <c r="W59" s="2"/>
      <c r="X59" s="2"/>
      <c r="Y59" s="2" t="n">
        <f aca="false">IF(OR(INDEX(WuTrigger,48)="Always",COUNTIF($D$30:$D$51,INDEX(WuTrigger,48))&gt;0,COUNTIF($E$30:$E$51,INDEX(WuTrigger,48))&gt;0),1,0)</f>
        <v>1</v>
      </c>
      <c r="Z59" s="2" t="n">
        <f aca="false">INDEX(WuPriority,48)*1000+48</f>
        <v>8048</v>
      </c>
      <c r="AA59" s="2" t="n">
        <f aca="false">IF($Y59=0,"",SUMIFS(WuMin,$Y$12:$Y$60,1,$Z$12:$Z$60,"&lt;="&amp;$Z59))</f>
        <v>53</v>
      </c>
      <c r="AB59" s="2" t="n">
        <f aca="false">IF(AND($Y59=1,$AA59&lt;=$B$6),1,0)</f>
        <v>0</v>
      </c>
      <c r="AC59" s="2" t="n">
        <f aca="false">INDEX(WuPhaseN,48)*1000+48</f>
        <v>2048</v>
      </c>
      <c r="AD59" s="2" t="str">
        <f aca="false">IF($AB59=0,"",COUNTIFS($AB$12:$AB$60,1,$AC$12:$AC$60,"&lt;"&amp;$AC59)+1)</f>
        <v/>
      </c>
      <c r="AE59" s="2"/>
      <c r="AF59" s="2"/>
      <c r="AG59" s="2"/>
      <c r="AH59" s="2"/>
      <c r="AI59" s="2"/>
      <c r="AJ59" s="2"/>
      <c r="AK59" s="2"/>
    </row>
    <row r="60" customFormat="false" ht="24" hidden="false" customHeight="true" outlineLevel="0" collapsed="false">
      <c r="A60" s="35" t="n">
        <v>5</v>
      </c>
      <c r="B60" s="36" t="str">
        <f aca="false">IFERROR(INDEX(MoName,MATCH(5,$AK$12:$AK$54,0)),"")</f>
        <v/>
      </c>
      <c r="C60" s="36" t="str">
        <f aca="false">IF($B60="","",INDEX(MoType,MATCH(5,$AK$12:$AK$54,0)))</f>
        <v/>
      </c>
      <c r="D60" s="36" t="str">
        <f aca="false">IF($B60="","",INDEX(MoTarget,MATCH(5,$AK$12:$AK$54,0)))</f>
        <v/>
      </c>
      <c r="E60" s="35" t="str">
        <f aca="false">IF($B60="","",INDEX(MoMin,MATCH(5,$AK$12:$AK$54,0)))</f>
        <v/>
      </c>
      <c r="F60" s="37" t="str">
        <f aca="false">IF($B60="","",INDEX(MoHow,MATCH(5,$AK$12:$AK$54,0)))</f>
        <v/>
      </c>
      <c r="G60" s="37"/>
      <c r="H60" s="37"/>
      <c r="I60" s="37"/>
      <c r="J60" s="37"/>
      <c r="K60" s="37"/>
      <c r="L60" s="37"/>
      <c r="M60" s="37"/>
      <c r="N60" s="2"/>
      <c r="O60" s="2"/>
      <c r="P60" s="2"/>
      <c r="Q60" s="2"/>
      <c r="R60" s="2"/>
      <c r="S60" s="2"/>
      <c r="T60" s="2"/>
      <c r="U60" s="2"/>
      <c r="V60" s="2"/>
      <c r="W60" s="2"/>
      <c r="X60" s="2"/>
      <c r="Y60" s="2" t="n">
        <f aca="false">IF(OR(INDEX(WuTrigger,49)="Always",COUNTIF($D$30:$D$51,INDEX(WuTrigger,49))&gt;0,COUNTIF($E$30:$E$51,INDEX(WuTrigger,49))&gt;0),1,0)</f>
        <v>0</v>
      </c>
      <c r="Z60" s="2" t="n">
        <f aca="false">INDEX(WuPriority,49)*1000+49</f>
        <v>8049</v>
      </c>
      <c r="AA60" s="2" t="str">
        <f aca="false">IF($Y60=0,"",SUMIFS(WuMin,$Y$12:$Y$60,1,$Z$12:$Z$60,"&lt;="&amp;$Z60))</f>
        <v/>
      </c>
      <c r="AB60" s="2" t="n">
        <f aca="false">IF(AND($Y60=1,$AA60&lt;=$B$6),1,0)</f>
        <v>0</v>
      </c>
      <c r="AC60" s="2" t="n">
        <f aca="false">INDEX(WuPhaseN,49)*1000+49</f>
        <v>2049</v>
      </c>
      <c r="AD60" s="2" t="str">
        <f aca="false">IF($AB60=0,"",COUNTIFS($AB$12:$AB$60,1,$AC$12:$AC$60,"&lt;"&amp;$AC60)+1)</f>
        <v/>
      </c>
      <c r="AE60" s="2"/>
      <c r="AF60" s="2"/>
      <c r="AG60" s="2"/>
      <c r="AH60" s="2"/>
      <c r="AI60" s="2"/>
      <c r="AJ60" s="2"/>
      <c r="AK60" s="2"/>
    </row>
    <row r="61" customFormat="false" ht="24" hidden="false" customHeight="true" outlineLevel="0" collapsed="false">
      <c r="A61" s="35" t="n">
        <v>6</v>
      </c>
      <c r="B61" s="36" t="str">
        <f aca="false">IFERROR(INDEX(MoName,MATCH(6,$AK$12:$AK$54,0)),"")</f>
        <v/>
      </c>
      <c r="C61" s="36" t="str">
        <f aca="false">IF($B61="","",INDEX(MoType,MATCH(6,$AK$12:$AK$54,0)))</f>
        <v/>
      </c>
      <c r="D61" s="36" t="str">
        <f aca="false">IF($B61="","",INDEX(MoTarget,MATCH(6,$AK$12:$AK$54,0)))</f>
        <v/>
      </c>
      <c r="E61" s="35" t="str">
        <f aca="false">IF($B61="","",INDEX(MoMin,MATCH(6,$AK$12:$AK$54,0)))</f>
        <v/>
      </c>
      <c r="F61" s="37" t="str">
        <f aca="false">IF($B61="","",INDEX(MoHow,MATCH(6,$AK$12:$AK$54,0)))</f>
        <v/>
      </c>
      <c r="G61" s="37"/>
      <c r="H61" s="37"/>
      <c r="I61" s="37"/>
      <c r="J61" s="37"/>
      <c r="K61" s="37"/>
      <c r="L61" s="37"/>
      <c r="M61" s="37"/>
      <c r="N61" s="2"/>
      <c r="O61" s="2"/>
      <c r="P61" s="2"/>
      <c r="Q61" s="2"/>
      <c r="R61" s="2"/>
      <c r="S61" s="2"/>
      <c r="T61" s="2"/>
      <c r="U61" s="2"/>
      <c r="V61" s="2"/>
      <c r="W61" s="2"/>
      <c r="X61" s="2"/>
      <c r="Y61" s="2"/>
      <c r="Z61" s="2"/>
      <c r="AA61" s="2"/>
      <c r="AB61" s="2"/>
      <c r="AC61" s="2"/>
      <c r="AD61" s="2"/>
      <c r="AE61" s="2"/>
      <c r="AF61" s="2"/>
      <c r="AG61" s="2"/>
      <c r="AH61" s="2"/>
      <c r="AI61" s="2"/>
      <c r="AJ61" s="2"/>
      <c r="AK61" s="2"/>
    </row>
    <row r="62" customFormat="false" ht="24" hidden="false" customHeight="true" outlineLevel="0" collapsed="false">
      <c r="A62" s="35" t="n">
        <v>7</v>
      </c>
      <c r="B62" s="36" t="str">
        <f aca="false">IFERROR(INDEX(MoName,MATCH(7,$AK$12:$AK$54,0)),"")</f>
        <v/>
      </c>
      <c r="C62" s="36" t="str">
        <f aca="false">IF($B62="","",INDEX(MoType,MATCH(7,$AK$12:$AK$54,0)))</f>
        <v/>
      </c>
      <c r="D62" s="36" t="str">
        <f aca="false">IF($B62="","",INDEX(MoTarget,MATCH(7,$AK$12:$AK$54,0)))</f>
        <v/>
      </c>
      <c r="E62" s="35" t="str">
        <f aca="false">IF($B62="","",INDEX(MoMin,MATCH(7,$AK$12:$AK$54,0)))</f>
        <v/>
      </c>
      <c r="F62" s="37" t="str">
        <f aca="false">IF($B62="","",INDEX(MoHow,MATCH(7,$AK$12:$AK$54,0)))</f>
        <v/>
      </c>
      <c r="G62" s="37"/>
      <c r="H62" s="37"/>
      <c r="I62" s="37"/>
      <c r="J62" s="37"/>
      <c r="K62" s="37"/>
      <c r="L62" s="37"/>
      <c r="M62" s="37"/>
      <c r="N62" s="2"/>
      <c r="O62" s="2"/>
      <c r="P62" s="2"/>
      <c r="Q62" s="2"/>
      <c r="R62" s="2"/>
      <c r="S62" s="2"/>
      <c r="T62" s="2"/>
      <c r="U62" s="2"/>
      <c r="V62" s="2"/>
      <c r="W62" s="2"/>
      <c r="X62" s="2"/>
      <c r="Y62" s="2"/>
      <c r="Z62" s="2"/>
      <c r="AA62" s="2"/>
      <c r="AB62" s="2"/>
      <c r="AC62" s="2"/>
      <c r="AD62" s="2"/>
      <c r="AE62" s="2"/>
      <c r="AF62" s="2"/>
      <c r="AG62" s="2"/>
      <c r="AH62" s="2"/>
      <c r="AI62" s="2"/>
      <c r="AJ62" s="2"/>
      <c r="AK62" s="2"/>
    </row>
    <row r="63" customFormat="false" ht="24" hidden="false" customHeight="true" outlineLevel="0" collapsed="false">
      <c r="A63" s="35" t="n">
        <v>8</v>
      </c>
      <c r="B63" s="36" t="str">
        <f aca="false">IFERROR(INDEX(MoName,MATCH(8,$AK$12:$AK$54,0)),"")</f>
        <v/>
      </c>
      <c r="C63" s="36" t="str">
        <f aca="false">IF($B63="","",INDEX(MoType,MATCH(8,$AK$12:$AK$54,0)))</f>
        <v/>
      </c>
      <c r="D63" s="36" t="str">
        <f aca="false">IF($B63="","",INDEX(MoTarget,MATCH(8,$AK$12:$AK$54,0)))</f>
        <v/>
      </c>
      <c r="E63" s="35" t="str">
        <f aca="false">IF($B63="","",INDEX(MoMin,MATCH(8,$AK$12:$AK$54,0)))</f>
        <v/>
      </c>
      <c r="F63" s="37" t="str">
        <f aca="false">IF($B63="","",INDEX(MoHow,MATCH(8,$AK$12:$AK$54,0)))</f>
        <v/>
      </c>
      <c r="G63" s="37"/>
      <c r="H63" s="37"/>
      <c r="I63" s="37"/>
      <c r="J63" s="37"/>
      <c r="K63" s="37"/>
      <c r="L63" s="37"/>
      <c r="M63" s="37"/>
      <c r="N63" s="2"/>
      <c r="O63" s="2"/>
      <c r="P63" s="2"/>
      <c r="Q63" s="2"/>
      <c r="R63" s="2"/>
      <c r="S63" s="2"/>
      <c r="T63" s="2"/>
      <c r="U63" s="2"/>
      <c r="V63" s="2"/>
      <c r="W63" s="2"/>
      <c r="X63" s="2"/>
      <c r="Y63" s="2"/>
      <c r="Z63" s="2"/>
      <c r="AA63" s="2"/>
      <c r="AB63" s="2"/>
      <c r="AC63" s="2"/>
      <c r="AD63" s="2"/>
      <c r="AE63" s="2"/>
      <c r="AF63" s="2"/>
      <c r="AG63" s="2"/>
      <c r="AH63" s="2"/>
      <c r="AI63" s="2"/>
      <c r="AJ63" s="2"/>
      <c r="AK63" s="2"/>
    </row>
    <row r="64" customFormat="false" ht="24" hidden="false" customHeight="true" outlineLevel="0" collapsed="false">
      <c r="A64" s="35" t="n">
        <v>9</v>
      </c>
      <c r="B64" s="36" t="str">
        <f aca="false">IFERROR(INDEX(MoName,MATCH(9,$AK$12:$AK$54,0)),"")</f>
        <v/>
      </c>
      <c r="C64" s="36" t="str">
        <f aca="false">IF($B64="","",INDEX(MoType,MATCH(9,$AK$12:$AK$54,0)))</f>
        <v/>
      </c>
      <c r="D64" s="36" t="str">
        <f aca="false">IF($B64="","",INDEX(MoTarget,MATCH(9,$AK$12:$AK$54,0)))</f>
        <v/>
      </c>
      <c r="E64" s="35" t="str">
        <f aca="false">IF($B64="","",INDEX(MoMin,MATCH(9,$AK$12:$AK$54,0)))</f>
        <v/>
      </c>
      <c r="F64" s="37" t="str">
        <f aca="false">IF($B64="","",INDEX(MoHow,MATCH(9,$AK$12:$AK$54,0)))</f>
        <v/>
      </c>
      <c r="G64" s="37"/>
      <c r="H64" s="37"/>
      <c r="I64" s="37"/>
      <c r="J64" s="37"/>
      <c r="K64" s="37"/>
      <c r="L64" s="37"/>
      <c r="M64" s="37"/>
      <c r="N64" s="2"/>
      <c r="O64" s="2"/>
      <c r="P64" s="2"/>
      <c r="Q64" s="2"/>
      <c r="R64" s="2"/>
      <c r="S64" s="2"/>
      <c r="T64" s="2"/>
      <c r="U64" s="2"/>
      <c r="V64" s="2"/>
      <c r="W64" s="2"/>
      <c r="X64" s="2"/>
      <c r="Y64" s="2"/>
      <c r="Z64" s="2"/>
      <c r="AA64" s="2"/>
      <c r="AB64" s="2"/>
      <c r="AC64" s="2"/>
      <c r="AD64" s="2"/>
      <c r="AE64" s="2"/>
      <c r="AF64" s="2"/>
      <c r="AG64" s="2"/>
      <c r="AH64" s="2"/>
      <c r="AI64" s="2"/>
      <c r="AJ64" s="2"/>
      <c r="AK64" s="2"/>
    </row>
    <row r="65" customFormat="false" ht="24" hidden="false" customHeight="true" outlineLevel="0" collapsed="false">
      <c r="A65" s="35" t="n">
        <v>10</v>
      </c>
      <c r="B65" s="36" t="str">
        <f aca="false">IFERROR(INDEX(MoName,MATCH(10,$AK$12:$AK$54,0)),"")</f>
        <v/>
      </c>
      <c r="C65" s="36" t="str">
        <f aca="false">IF($B65="","",INDEX(MoType,MATCH(10,$AK$12:$AK$54,0)))</f>
        <v/>
      </c>
      <c r="D65" s="36" t="str">
        <f aca="false">IF($B65="","",INDEX(MoTarget,MATCH(10,$AK$12:$AK$54,0)))</f>
        <v/>
      </c>
      <c r="E65" s="35" t="str">
        <f aca="false">IF($B65="","",INDEX(MoMin,MATCH(10,$AK$12:$AK$54,0)))</f>
        <v/>
      </c>
      <c r="F65" s="37" t="str">
        <f aca="false">IF($B65="","",INDEX(MoHow,MATCH(10,$AK$12:$AK$54,0)))</f>
        <v/>
      </c>
      <c r="G65" s="37"/>
      <c r="H65" s="37"/>
      <c r="I65" s="37"/>
      <c r="J65" s="37"/>
      <c r="K65" s="37"/>
      <c r="L65" s="37"/>
      <c r="M65" s="37"/>
      <c r="N65" s="2"/>
      <c r="O65" s="2"/>
      <c r="P65" s="2"/>
      <c r="Q65" s="2"/>
      <c r="R65" s="2"/>
      <c r="S65" s="2"/>
      <c r="T65" s="2"/>
      <c r="U65" s="2"/>
      <c r="V65" s="2"/>
      <c r="W65" s="2"/>
      <c r="X65" s="2"/>
      <c r="Y65" s="2"/>
      <c r="Z65" s="2"/>
      <c r="AA65" s="2"/>
      <c r="AB65" s="2"/>
      <c r="AC65" s="2"/>
      <c r="AD65" s="2"/>
      <c r="AE65" s="2"/>
      <c r="AF65" s="2"/>
      <c r="AG65" s="2"/>
      <c r="AH65" s="2"/>
      <c r="AI65" s="2"/>
      <c r="AJ65" s="2"/>
      <c r="AK65" s="2"/>
    </row>
    <row r="66" customFormat="false" ht="15" hidden="false" customHeight="false" outlineLevel="0" collapsed="false">
      <c r="A66" s="38" t="s">
        <v>1039</v>
      </c>
      <c r="B66" s="39"/>
      <c r="C66" s="39"/>
      <c r="D66" s="39"/>
      <c r="E66" s="40" t="n">
        <f aca="false">SUMIFS(MoMin,$AI$12:$AI$54,1)</f>
        <v>7</v>
      </c>
      <c r="F66" s="39"/>
      <c r="G66" s="39"/>
      <c r="H66" s="39"/>
      <c r="I66" s="39"/>
      <c r="J66" s="39"/>
      <c r="K66" s="39"/>
      <c r="L66" s="39"/>
      <c r="M66" s="39"/>
      <c r="N66" s="2"/>
      <c r="O66" s="2"/>
      <c r="P66" s="2"/>
      <c r="Q66" s="2"/>
      <c r="R66" s="2"/>
      <c r="S66" s="2"/>
      <c r="T66" s="2"/>
      <c r="U66" s="2"/>
      <c r="V66" s="2"/>
      <c r="W66" s="2"/>
      <c r="X66" s="2"/>
      <c r="Y66" s="2"/>
      <c r="Z66" s="2"/>
      <c r="AA66" s="2"/>
      <c r="AB66" s="2"/>
      <c r="AC66" s="2"/>
      <c r="AD66" s="2"/>
      <c r="AE66" s="2"/>
      <c r="AF66" s="2"/>
      <c r="AG66" s="2"/>
      <c r="AH66" s="2"/>
      <c r="AI66" s="2"/>
      <c r="AJ66" s="2"/>
      <c r="AK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customFormat="false" ht="19.5" hidden="false" customHeight="true" outlineLevel="0" collapsed="false">
      <c r="A68" s="33" t="s">
        <v>1040</v>
      </c>
      <c r="B68" s="33"/>
      <c r="C68" s="33"/>
      <c r="D68" s="33"/>
      <c r="E68" s="33"/>
      <c r="F68" s="33"/>
      <c r="G68" s="33"/>
      <c r="H68" s="33"/>
      <c r="I68" s="33"/>
      <c r="J68" s="33"/>
      <c r="K68" s="33"/>
      <c r="L68" s="33"/>
      <c r="M68" s="33"/>
      <c r="N68" s="33"/>
      <c r="O68" s="33"/>
      <c r="P68" s="33"/>
      <c r="Q68" s="2"/>
      <c r="R68" s="2"/>
      <c r="S68" s="2"/>
      <c r="T68" s="2"/>
      <c r="U68" s="2"/>
      <c r="V68" s="2"/>
      <c r="W68" s="2"/>
      <c r="X68" s="2"/>
      <c r="Y68" s="2"/>
      <c r="Z68" s="2"/>
      <c r="AA68" s="2"/>
      <c r="AB68" s="2"/>
      <c r="AC68" s="2"/>
      <c r="AD68" s="2"/>
      <c r="AE68" s="2"/>
      <c r="AF68" s="2"/>
      <c r="AG68" s="2"/>
      <c r="AH68" s="2"/>
      <c r="AI68" s="2"/>
      <c r="AJ68" s="2"/>
      <c r="AK68" s="2"/>
    </row>
    <row r="69" customFormat="false" ht="15" hidden="false" customHeight="false" outlineLevel="0" collapsed="false">
      <c r="A69" s="14" t="s">
        <v>1041</v>
      </c>
      <c r="B69" s="48" t="n">
        <f aca="false">$E$26</f>
        <v>13</v>
      </c>
      <c r="C69" s="2"/>
      <c r="D69" s="8" t="s">
        <v>1042</v>
      </c>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customFormat="false" ht="15" hidden="false" customHeight="false" outlineLevel="0" collapsed="false">
      <c r="A70" s="14" t="s">
        <v>1043</v>
      </c>
      <c r="B70" s="48" t="n">
        <f aca="false">$P$52</f>
        <v>78</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customFormat="false" ht="15" hidden="false" customHeight="false" outlineLevel="0" collapsed="false">
      <c r="A71" s="14" t="s">
        <v>23</v>
      </c>
      <c r="B71" s="48" t="n">
        <f aca="false">$E$66</f>
        <v>7</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customFormat="false" ht="15" hidden="false" customHeight="false" outlineLevel="0" collapsed="false">
      <c r="A72" s="49" t="s">
        <v>1044</v>
      </c>
      <c r="B72" s="40" t="n">
        <f aca="false">SUM($B$69:$B$71)</f>
        <v>98</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customFormat="false" ht="15" hidden="false" customHeight="false" outlineLevel="0" collapsed="false">
      <c r="A73" s="49" t="s">
        <v>1045</v>
      </c>
      <c r="B73" s="40" t="str">
        <f aca="false">TEXT($B$72/1440,"h:mm")</f>
        <v>1:38</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customFormat="false" ht="19.5" hidden="false" customHeight="true" outlineLevel="0" collapsed="false">
      <c r="A75" s="33" t="s">
        <v>1046</v>
      </c>
      <c r="B75" s="33"/>
      <c r="C75" s="33"/>
      <c r="D75" s="33"/>
      <c r="E75" s="33"/>
      <c r="F75" s="33"/>
      <c r="G75" s="33"/>
      <c r="H75" s="33"/>
      <c r="I75" s="33"/>
      <c r="J75" s="33"/>
      <c r="K75" s="33"/>
      <c r="L75" s="33"/>
      <c r="M75" s="33"/>
      <c r="N75" s="33"/>
      <c r="O75" s="33"/>
      <c r="P75" s="33"/>
      <c r="Q75" s="2"/>
      <c r="R75" s="2"/>
      <c r="S75" s="2"/>
      <c r="T75" s="2"/>
      <c r="U75" s="2"/>
      <c r="V75" s="2"/>
      <c r="W75" s="2"/>
      <c r="X75" s="2"/>
      <c r="Y75" s="2"/>
      <c r="Z75" s="2"/>
      <c r="AA75" s="2"/>
      <c r="AB75" s="2"/>
      <c r="AC75" s="2"/>
      <c r="AD75" s="2"/>
      <c r="AE75" s="2"/>
      <c r="AF75" s="2"/>
      <c r="AG75" s="2"/>
      <c r="AH75" s="2"/>
      <c r="AI75" s="2"/>
      <c r="AJ75" s="2"/>
      <c r="AK75" s="2"/>
    </row>
    <row r="76" customFormat="false" ht="15" hidden="false" customHeight="false" outlineLevel="0" collapsed="false">
      <c r="A76" s="50" t="s">
        <v>56</v>
      </c>
      <c r="B76" s="50" t="s">
        <v>1047</v>
      </c>
      <c r="C76" s="2"/>
      <c r="D76" s="50" t="s">
        <v>55</v>
      </c>
      <c r="E76" s="50" t="s">
        <v>1047</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customFormat="false" ht="15" hidden="false" customHeight="false" outlineLevel="0" collapsed="false">
      <c r="A77" s="14" t="s">
        <v>215</v>
      </c>
      <c r="B77" s="48" t="n">
        <f aca="false">COUNTIF($E$30:$E$51,$A77)</f>
        <v>0</v>
      </c>
      <c r="C77" s="2"/>
      <c r="D77" s="14" t="s">
        <v>64</v>
      </c>
      <c r="E77" s="48" t="n">
        <f aca="false">COUNTIF($D$30:$D$51,$D77)</f>
        <v>1</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customFormat="false" ht="15" hidden="false" customHeight="false" outlineLevel="0" collapsed="false">
      <c r="A78" s="14" t="s">
        <v>142</v>
      </c>
      <c r="B78" s="48" t="n">
        <f aca="false">COUNTIF($E$30:$E$51,$A78)</f>
        <v>0</v>
      </c>
      <c r="C78" s="2"/>
      <c r="D78" s="14" t="s">
        <v>122</v>
      </c>
      <c r="E78" s="48" t="n">
        <f aca="false">COUNTIF($D$30:$D$51,$D78)</f>
        <v>1</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customFormat="false" ht="15" hidden="false" customHeight="false" outlineLevel="0" collapsed="false">
      <c r="A79" s="14" t="s">
        <v>264</v>
      </c>
      <c r="B79" s="48" t="n">
        <f aca="false">COUNTIF($E$30:$E$51,$A79)</f>
        <v>0</v>
      </c>
      <c r="C79" s="2"/>
      <c r="D79" s="14" t="s">
        <v>185</v>
      </c>
      <c r="E79" s="48" t="n">
        <f aca="false">COUNTIF($D$30:$D$51,$D79)</f>
        <v>1</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customFormat="false" ht="15" hidden="false" customHeight="false" outlineLevel="0" collapsed="false">
      <c r="A80" s="14" t="s">
        <v>410</v>
      </c>
      <c r="B80" s="48" t="n">
        <f aca="false">COUNTIF($E$30:$E$51,$A80)</f>
        <v>1</v>
      </c>
      <c r="C80" s="2"/>
      <c r="D80" s="14" t="s">
        <v>214</v>
      </c>
      <c r="E80" s="48" t="n">
        <f aca="false">COUNTIF($D$30:$D$51,$D80)</f>
        <v>0</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customFormat="false" ht="15" hidden="false" customHeight="false" outlineLevel="0" collapsed="false">
      <c r="A81" s="14" t="s">
        <v>364</v>
      </c>
      <c r="B81" s="48" t="n">
        <f aca="false">COUNTIF($E$30:$E$51,$A81)</f>
        <v>0</v>
      </c>
      <c r="C81" s="2"/>
      <c r="D81" s="14" t="s">
        <v>278</v>
      </c>
      <c r="E81" s="48" t="n">
        <f aca="false">COUNTIF($D$30:$D$51,$D81)</f>
        <v>0</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customFormat="false" ht="15" hidden="false" customHeight="false" outlineLevel="0" collapsed="false">
      <c r="A82" s="14" t="s">
        <v>224</v>
      </c>
      <c r="B82" s="48" t="n">
        <f aca="false">COUNTIF($E$30:$E$51,$A82)</f>
        <v>0</v>
      </c>
      <c r="C82" s="2"/>
      <c r="D82" s="14" t="s">
        <v>316</v>
      </c>
      <c r="E82" s="48" t="n">
        <f aca="false">COUNTIF($D$30:$D$51,$D82)</f>
        <v>0</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customFormat="false" ht="15" hidden="false" customHeight="false" outlineLevel="0" collapsed="false">
      <c r="A83" s="14" t="s">
        <v>554</v>
      </c>
      <c r="B83" s="48" t="n">
        <f aca="false">COUNTIF($E$30:$E$51,$A83)</f>
        <v>0</v>
      </c>
      <c r="C83" s="2"/>
      <c r="D83" s="14" t="s">
        <v>360</v>
      </c>
      <c r="E83" s="48" t="n">
        <f aca="false">COUNTIF($D$30:$D$51,$D83)</f>
        <v>0</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customFormat="false" ht="15" hidden="false" customHeight="false" outlineLevel="0" collapsed="false">
      <c r="A84" s="14" t="s">
        <v>65</v>
      </c>
      <c r="B84" s="48" t="n">
        <f aca="false">COUNTIF($E$30:$E$51,$A84)</f>
        <v>2</v>
      </c>
      <c r="C84" s="2"/>
      <c r="D84" s="14" t="s">
        <v>167</v>
      </c>
      <c r="E84" s="48" t="n">
        <f aca="false">COUNTIF($D$30:$D$51,$D84)</f>
        <v>0</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customFormat="false" ht="15" hidden="false" customHeight="false" outlineLevel="0" collapsed="false">
      <c r="A85" s="14" t="s">
        <v>123</v>
      </c>
      <c r="B85" s="48" t="n">
        <f aca="false">COUNTIF($E$30:$E$51,$A85)</f>
        <v>2</v>
      </c>
      <c r="C85" s="2"/>
      <c r="D85" s="14" t="s">
        <v>435</v>
      </c>
      <c r="E85" s="48" t="n">
        <f aca="false">COUNTIF($D$30:$D$51,$D85)</f>
        <v>0</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customFormat="false" ht="15" hidden="false" customHeight="false" outlineLevel="0" collapsed="false">
      <c r="A86" s="14" t="s">
        <v>101</v>
      </c>
      <c r="B86" s="48" t="n">
        <f aca="false">COUNTIF($E$30:$E$51,$A86)</f>
        <v>0</v>
      </c>
      <c r="C86" s="2"/>
      <c r="D86" s="14" t="s">
        <v>473</v>
      </c>
      <c r="E86" s="48" t="n">
        <f aca="false">COUNTIF($D$30:$D$51,$D86)</f>
        <v>1</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customFormat="false" ht="15" hidden="false" customHeight="false" outlineLevel="0" collapsed="false">
      <c r="A87" s="14" t="s">
        <v>202</v>
      </c>
      <c r="B87" s="48" t="n">
        <f aca="false">COUNTIF($E$30:$E$51,$A87)</f>
        <v>0</v>
      </c>
      <c r="C87" s="2"/>
      <c r="D87" s="14" t="s">
        <v>527</v>
      </c>
      <c r="E87" s="48" t="n">
        <f aca="false">COUNTIF($D$30:$D$51,$D87)</f>
        <v>1</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customFormat="false" ht="15" hidden="false" customHeight="false" outlineLevel="0" collapsed="false">
      <c r="A88" s="14" t="s">
        <v>459</v>
      </c>
      <c r="B88" s="48" t="n">
        <f aca="false">COUNTIF($E$30:$E$51,$A88)</f>
        <v>0</v>
      </c>
      <c r="C88" s="2"/>
      <c r="D88" s="14" t="s">
        <v>174</v>
      </c>
      <c r="E88" s="48" t="n">
        <f aca="false">COUNTIF($D$30:$D$51,$D88)</f>
        <v>1</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customFormat="false" ht="15" hidden="false" customHeight="false" outlineLevel="0" collapsed="false">
      <c r="A89" s="14" t="s">
        <v>118</v>
      </c>
      <c r="B89" s="48" t="n">
        <f aca="false">COUNTIF($E$30:$E$51,$A89)</f>
        <v>1</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customFormat="false" ht="15" hidden="false" customHeight="false" outlineLevel="0" collapsed="false">
      <c r="A90" s="14" t="s">
        <v>390</v>
      </c>
      <c r="B90" s="48" t="n">
        <f aca="false">COUNTIF($E$30:$E$51,$A90)</f>
        <v>0</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sheetData>
  <mergeCells count="24">
    <mergeCell ref="F12:M12"/>
    <mergeCell ref="F13:M13"/>
    <mergeCell ref="F14:M14"/>
    <mergeCell ref="F15:M15"/>
    <mergeCell ref="F16:M16"/>
    <mergeCell ref="F17:M17"/>
    <mergeCell ref="F18:M18"/>
    <mergeCell ref="F19:M19"/>
    <mergeCell ref="F20:M20"/>
    <mergeCell ref="F21:M21"/>
    <mergeCell ref="F22:M22"/>
    <mergeCell ref="F23:M23"/>
    <mergeCell ref="F24:M24"/>
    <mergeCell ref="F25:M25"/>
    <mergeCell ref="F56:M56"/>
    <mergeCell ref="F57:M57"/>
    <mergeCell ref="F58:M58"/>
    <mergeCell ref="F59:M59"/>
    <mergeCell ref="F60:M60"/>
    <mergeCell ref="F61:M61"/>
    <mergeCell ref="F62:M62"/>
    <mergeCell ref="F63:M63"/>
    <mergeCell ref="F64:M64"/>
    <mergeCell ref="F65:M65"/>
  </mergeCells>
  <dataValidations count="4">
    <dataValidation allowBlank="false" errorStyle="stop" operator="between" showDropDown="false" showErrorMessage="false" showInputMessage="false" sqref="B5" type="list">
      <formula1>"Explosivity,Strength,Muscular endurance"</formula1>
      <formula2>0</formula2>
    </dataValidation>
    <dataValidation allowBlank="false" errorStyle="stop" operator="between" showDropDown="false" showErrorMessage="false" showInputMessage="false" sqref="B6" type="list">
      <formula1>"0,5,8,10,12,15,20,25,30"</formula1>
      <formula2>0</formula2>
    </dataValidation>
    <dataValidation allowBlank="false" errorStyle="stop" operator="between" showDropDown="false" showErrorMessage="false" showInputMessage="false" sqref="B7" type="list">
      <formula1>"0,5,8,10,12,15,20"</formula1>
      <formula2>0</formula2>
    </dataValidation>
    <dataValidation allowBlank="true" errorStyle="stop" operator="between" showDropDown="false" showErrorMessage="false" showInputMessage="false" sqref="B30:B51" type="list">
      <formula1>ExPick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4" min="3" style="0" width="18"/>
    <col collapsed="false" customWidth="true" hidden="false" outlineLevel="0" max="5" min="5" style="0" width="12"/>
    <col collapsed="false" customWidth="true" hidden="false" outlineLevel="0" max="6" min="6" style="0" width="22"/>
    <col collapsed="false" customWidth="true" hidden="false" outlineLevel="0" max="7" min="7" style="0" width="15"/>
    <col collapsed="false" customWidth="true" hidden="false" outlineLevel="0" max="8" min="8" style="0" width="7"/>
    <col collapsed="false" customWidth="true" hidden="false" outlineLevel="0" max="9" min="9" style="0" width="17"/>
    <col collapsed="false" customWidth="true" hidden="false" outlineLevel="0" max="10" min="10" style="0" width="20"/>
    <col collapsed="false" customWidth="true" hidden="false" outlineLevel="0" max="11" min="11" style="0" width="17"/>
    <col collapsed="false" customWidth="true" hidden="false" outlineLevel="0" max="12" min="12" style="0" width="11"/>
    <col collapsed="false" customWidth="true" hidden="false" outlineLevel="0" max="13" min="13" style="0" width="44"/>
    <col collapsed="false" customWidth="true" hidden="false" outlineLevel="0" max="14" min="14" style="0" width="13"/>
    <col collapsed="false" customWidth="true" hidden="false" outlineLevel="0" max="15" min="15" style="0" width="26"/>
    <col collapsed="false" customWidth="true" hidden="false" outlineLevel="0" max="16" min="16" style="0" width="9"/>
    <col collapsed="false" customWidth="true" hidden="true" outlineLevel="0" max="23" min="18" style="0" width="13"/>
    <col collapsed="false" customWidth="true" hidden="true" outlineLevel="0" max="30" min="25" style="0" width="13"/>
    <col collapsed="false" customWidth="true" hidden="true" outlineLevel="0" max="37" min="32" style="0" width="13"/>
  </cols>
  <sheetData>
    <row r="1" customFormat="false" ht="24" hidden="false" customHeight="true" outlineLevel="0" collapsed="false">
      <c r="A1" s="1" t="s">
        <v>1048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customFormat="false" ht="15" hidden="false" customHeight="false" outlineLevel="0" collapsed="false">
      <c r="A3" s="30" t="s">
        <v>1014</v>
      </c>
      <c r="B3" s="15"/>
      <c r="C3" s="2"/>
      <c r="D3" s="8" t="s">
        <v>1016</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customFormat="false" ht="15" hidden="false" customHeight="false" outlineLevel="0" collapsed="false">
      <c r="A4" s="30" t="s">
        <v>1017</v>
      </c>
      <c r="B4" s="3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customFormat="false" ht="15" hidden="false" customHeight="false" outlineLevel="0" collapsed="false">
      <c r="A5" s="30" t="s">
        <v>926</v>
      </c>
      <c r="B5" s="15" t="s">
        <v>943</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customFormat="false" ht="15" hidden="false" customHeight="false" outlineLevel="0" collapsed="false">
      <c r="A6" s="30" t="s">
        <v>1018</v>
      </c>
      <c r="B6" s="32" t="n">
        <v>15</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customFormat="false" ht="15" hidden="false" customHeight="false" outlineLevel="0" collapsed="false">
      <c r="A7" s="30" t="s">
        <v>1019</v>
      </c>
      <c r="B7" s="32" t="n">
        <v>8</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customFormat="false" ht="15" hidden="false" customHeight="false" outlineLevel="0" collapsed="false">
      <c r="A8" s="30" t="s">
        <v>1020</v>
      </c>
      <c r="B8" s="15"/>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row>
    <row r="9" customFormat="false" ht="15"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row>
    <row r="10" customFormat="false" ht="19.5" hidden="false" customHeight="true" outlineLevel="0" collapsed="false">
      <c r="A10" s="33" t="s">
        <v>1022</v>
      </c>
      <c r="B10" s="33"/>
      <c r="C10" s="33"/>
      <c r="D10" s="33"/>
      <c r="E10" s="33"/>
      <c r="F10" s="33"/>
      <c r="G10" s="33"/>
      <c r="H10" s="33"/>
      <c r="I10" s="33"/>
      <c r="J10" s="33"/>
      <c r="K10" s="33"/>
      <c r="L10" s="33"/>
      <c r="M10" s="33"/>
      <c r="N10" s="33"/>
      <c r="O10" s="33"/>
      <c r="P10" s="33"/>
      <c r="Q10" s="2"/>
      <c r="R10" s="2"/>
      <c r="S10" s="2"/>
      <c r="T10" s="2"/>
      <c r="U10" s="2"/>
      <c r="V10" s="2"/>
      <c r="W10" s="2"/>
      <c r="X10" s="2"/>
      <c r="Y10" s="2"/>
      <c r="Z10" s="2"/>
      <c r="AA10" s="2"/>
      <c r="AB10" s="2"/>
      <c r="AC10" s="2"/>
      <c r="AD10" s="2"/>
      <c r="AE10" s="2"/>
      <c r="AF10" s="2"/>
      <c r="AG10" s="2"/>
      <c r="AH10" s="2"/>
      <c r="AI10" s="2"/>
      <c r="AJ10" s="2"/>
      <c r="AK10" s="2"/>
    </row>
    <row r="11" customFormat="false" ht="19.5" hidden="false" customHeight="true" outlineLevel="0" collapsed="false">
      <c r="A11" s="9" t="s">
        <v>1023</v>
      </c>
      <c r="B11" s="9" t="s">
        <v>648</v>
      </c>
      <c r="C11" s="9" t="s">
        <v>649</v>
      </c>
      <c r="D11" s="9" t="s">
        <v>1024</v>
      </c>
      <c r="E11" s="9" t="s">
        <v>1025</v>
      </c>
      <c r="F11" s="9" t="s">
        <v>654</v>
      </c>
      <c r="G11" s="34"/>
      <c r="H11" s="34"/>
      <c r="I11" s="34"/>
      <c r="J11" s="34"/>
      <c r="K11" s="34"/>
      <c r="L11" s="34"/>
      <c r="M11" s="34"/>
      <c r="N11" s="2"/>
      <c r="O11" s="2"/>
      <c r="P11" s="2"/>
      <c r="Q11" s="2"/>
      <c r="R11" s="2"/>
      <c r="S11" s="2"/>
      <c r="T11" s="2"/>
      <c r="U11" s="2"/>
      <c r="V11" s="2"/>
      <c r="W11" s="2"/>
      <c r="X11" s="2"/>
      <c r="Y11" s="2"/>
      <c r="Z11" s="2"/>
      <c r="AA11" s="2"/>
      <c r="AB11" s="2"/>
      <c r="AC11" s="2"/>
      <c r="AD11" s="2"/>
      <c r="AE11" s="2"/>
      <c r="AF11" s="2"/>
      <c r="AG11" s="2"/>
      <c r="AH11" s="2"/>
      <c r="AI11" s="2"/>
      <c r="AJ11" s="2"/>
      <c r="AK11" s="2"/>
    </row>
    <row r="12" customFormat="false" ht="24" hidden="false" customHeight="true" outlineLevel="0" collapsed="false">
      <c r="A12" s="35" t="n">
        <v>1</v>
      </c>
      <c r="B12" s="36" t="str">
        <f aca="false">IFERROR(INDEX(WuName,MATCH(1,$AD$12:$AD$60,0)),"")</f>
        <v>Easy cardio</v>
      </c>
      <c r="C12" s="36" t="str">
        <f aca="false">IF($B12="","",INDEX(WuPhase,MATCH(1,$AD$12:$AD$60,0)))</f>
        <v>1 Raise</v>
      </c>
      <c r="D12" s="36" t="str">
        <f aca="false">IF($B12="","",INDEX(WuTrigger,MATCH(1,$AD$12:$AD$60,0)))</f>
        <v>Always</v>
      </c>
      <c r="E12" s="35" t="n">
        <f aca="false">IF($B12="","",INDEX(WuMin,MATCH(1,$AD$12:$AD$60,0)))</f>
        <v>4</v>
      </c>
      <c r="F12" s="37" t="str">
        <f aca="false">IF($B12="","",INDEX(WuHow,MATCH(1,$AD$12:$AD$60,0)))</f>
        <v>Bike, row or ski erg at a conversational pace until you break a light sweat.</v>
      </c>
      <c r="G12" s="37"/>
      <c r="H12" s="37"/>
      <c r="I12" s="37"/>
      <c r="J12" s="37"/>
      <c r="K12" s="37"/>
      <c r="L12" s="37"/>
      <c r="M12" s="37"/>
      <c r="N12" s="2"/>
      <c r="O12" s="2"/>
      <c r="P12" s="2"/>
      <c r="Q12" s="2"/>
      <c r="R12" s="2"/>
      <c r="S12" s="2"/>
      <c r="T12" s="2"/>
      <c r="U12" s="2"/>
      <c r="V12" s="2"/>
      <c r="W12" s="2"/>
      <c r="X12" s="2"/>
      <c r="Y12" s="2" t="n">
        <f aca="false">IF(OR(INDEX(WuTrigger,1)="Always",COUNTIF($D$30:$D$51,INDEX(WuTrigger,1))&gt;0,COUNTIF($E$30:$E$51,INDEX(WuTrigger,1))&gt;0),1,0)</f>
        <v>1</v>
      </c>
      <c r="Z12" s="2" t="n">
        <f aca="false">INDEX(WuPriority,1)*1000+1</f>
        <v>1001</v>
      </c>
      <c r="AA12" s="2" t="n">
        <f aca="false">IF($Y12=0,"",SUMIFS(WuMin,$Y$12:$Y$60,1,$Z$12:$Z$60,"&lt;="&amp;$Z12))</f>
        <v>4</v>
      </c>
      <c r="AB12" s="2" t="n">
        <f aca="false">IF(AND($Y12=1,$AA12&lt;=$B$6),1,0)</f>
        <v>1</v>
      </c>
      <c r="AC12" s="2" t="n">
        <f aca="false">INDEX(WuPhaseN,1)*1000+1</f>
        <v>1001</v>
      </c>
      <c r="AD12" s="2" t="n">
        <f aca="false">IF($AB12=0,"",COUNTIFS($AB$12:$AB$60,1,$AC$12:$AC$60,"&lt;"&amp;$AC12)+1)</f>
        <v>1</v>
      </c>
      <c r="AE12" s="2"/>
      <c r="AF12" s="2" t="n">
        <f aca="false">IF(OR(INDEX(MoTarget,1)="Always",COUNTIF($E$30:$E$51,INDEX(MoTarget,1))&gt;0,COUNTIF($F$30:$F$51,"*"&amp;INDEX(MoTarget,1)&amp;"*")&gt;0),1,0)</f>
        <v>1</v>
      </c>
      <c r="AG12" s="2" t="n">
        <f aca="false">INDEX(MoPriority,1)*1000+1</f>
        <v>1001</v>
      </c>
      <c r="AH12" s="2" t="n">
        <f aca="false">IF($AF12=0,"",SUMIFS(MoMin,$AF$12:$AF$54,1,$AG$12:$AG$54,"&lt;="&amp;$AG12))</f>
        <v>2</v>
      </c>
      <c r="AI12" s="2" t="n">
        <f aca="false">IF(AND($AF12=1,$AH12&lt;=$B$7),1,0)</f>
        <v>1</v>
      </c>
      <c r="AJ12" s="2" t="n">
        <f aca="false">INDEX(MoTypeN,1)*1000+1</f>
        <v>1001</v>
      </c>
      <c r="AK12" s="2" t="n">
        <f aca="false">IF($AI12=0,"",COUNTIFS($AI$12:$AI$54,1,$AJ$12:$AJ$54,"&lt;"&amp;$AJ12)+1)</f>
        <v>1</v>
      </c>
    </row>
    <row r="13" customFormat="false" ht="24" hidden="false" customHeight="true" outlineLevel="0" collapsed="false">
      <c r="A13" s="35" t="n">
        <v>2</v>
      </c>
      <c r="B13" s="36" t="str">
        <f aca="false">IFERROR(INDEX(WuName,MATCH(2,$AD$12:$AD$60,0)),"")</f>
        <v>Joint circles</v>
      </c>
      <c r="C13" s="36" t="str">
        <f aca="false">IF($B13="","",INDEX(WuPhase,MATCH(2,$AD$12:$AD$60,0)))</f>
        <v>2 Mobilise</v>
      </c>
      <c r="D13" s="36" t="str">
        <f aca="false">IF($B13="","",INDEX(WuTrigger,MATCH(2,$AD$12:$AD$60,0)))</f>
        <v>Always</v>
      </c>
      <c r="E13" s="35" t="n">
        <f aca="false">IF($B13="","",INDEX(WuMin,MATCH(2,$AD$12:$AD$60,0)))</f>
        <v>2</v>
      </c>
      <c r="F13" s="37" t="str">
        <f aca="false">IF($B13="","",INDEX(WuHow,MATCH(2,$AD$12:$AD$60,0)))</f>
        <v>Ankles, hips, thoracic spine, shoulders. 10 slow circles each direction.</v>
      </c>
      <c r="G13" s="37"/>
      <c r="H13" s="37"/>
      <c r="I13" s="37"/>
      <c r="J13" s="37"/>
      <c r="K13" s="37"/>
      <c r="L13" s="37"/>
      <c r="M13" s="37"/>
      <c r="N13" s="2"/>
      <c r="O13" s="2"/>
      <c r="P13" s="2"/>
      <c r="Q13" s="2"/>
      <c r="R13" s="2"/>
      <c r="S13" s="2"/>
      <c r="T13" s="2"/>
      <c r="U13" s="2"/>
      <c r="V13" s="2"/>
      <c r="W13" s="2"/>
      <c r="X13" s="2"/>
      <c r="Y13" s="2" t="n">
        <f aca="false">IF(OR(INDEX(WuTrigger,2)="Always",COUNTIF($D$30:$D$51,INDEX(WuTrigger,2))&gt;0,COUNTIF($E$30:$E$51,INDEX(WuTrigger,2))&gt;0),1,0)</f>
        <v>1</v>
      </c>
      <c r="Z13" s="2" t="n">
        <f aca="false">INDEX(WuPriority,2)*1000+2</f>
        <v>5002</v>
      </c>
      <c r="AA13" s="2" t="n">
        <f aca="false">IF($Y13=0,"",SUMIFS(WuMin,$Y$12:$Y$60,1,$Z$12:$Z$60,"&lt;="&amp;$Z13))</f>
        <v>14</v>
      </c>
      <c r="AB13" s="2" t="n">
        <f aca="false">IF(AND($Y13=1,$AA13&lt;=$B$6),1,0)</f>
        <v>1</v>
      </c>
      <c r="AC13" s="2" t="n">
        <f aca="false">INDEX(WuPhaseN,2)*1000+2</f>
        <v>2002</v>
      </c>
      <c r="AD13" s="2" t="n">
        <f aca="false">IF($AB13=0,"",COUNTIFS($AB$12:$AB$60,1,$AC$12:$AC$60,"&lt;"&amp;$AC13)+1)</f>
        <v>2</v>
      </c>
      <c r="AE13" s="2"/>
      <c r="AF13" s="2" t="n">
        <f aca="false">IF(OR(INDEX(MoTarget,2)="Always",COUNTIF($E$30:$E$51,INDEX(MoTarget,2))&gt;0,COUNTIF($F$30:$F$51,"*"&amp;INDEX(MoTarget,2)&amp;"*")&gt;0),1,0)</f>
        <v>1</v>
      </c>
      <c r="AG13" s="2" t="n">
        <f aca="false">INDEX(MoPriority,2)*1000+2</f>
        <v>2002</v>
      </c>
      <c r="AH13" s="2" t="n">
        <f aca="false">IF($AF13=0,"",SUMIFS(MoMin,$AF$12:$AF$54,1,$AG$12:$AG$54,"&lt;="&amp;$AG13))</f>
        <v>4</v>
      </c>
      <c r="AI13" s="2" t="n">
        <f aca="false">IF(AND($AF13=1,$AH13&lt;=$B$7),1,0)</f>
        <v>1</v>
      </c>
      <c r="AJ13" s="2" t="n">
        <f aca="false">INDEX(MoTypeN,2)*1000+2</f>
        <v>1002</v>
      </c>
      <c r="AK13" s="2" t="n">
        <f aca="false">IF($AI13=0,"",COUNTIFS($AI$12:$AI$54,1,$AJ$12:$AJ$54,"&lt;"&amp;$AJ13)+1)</f>
        <v>2</v>
      </c>
    </row>
    <row r="14" customFormat="false" ht="24" hidden="false" customHeight="true" outlineLevel="0" collapsed="false">
      <c r="A14" s="35" t="n">
        <v>3</v>
      </c>
      <c r="B14" s="36" t="str">
        <f aca="false">IFERROR(INDEX(WuName,MATCH(3,$AD$12:$AD$60,0)),"")</f>
        <v>World's Greatest Stretch</v>
      </c>
      <c r="C14" s="36" t="str">
        <f aca="false">IF($B14="","",INDEX(WuPhase,MATCH(3,$AD$12:$AD$60,0)))</f>
        <v>2 Mobilise</v>
      </c>
      <c r="D14" s="36" t="str">
        <f aca="false">IF($B14="","",INDEX(WuTrigger,MATCH(3,$AD$12:$AD$60,0)))</f>
        <v>Always</v>
      </c>
      <c r="E14" s="35" t="n">
        <f aca="false">IF($B14="","",INDEX(WuMin,MATCH(3,$AD$12:$AD$60,0)))</f>
        <v>3</v>
      </c>
      <c r="F14" s="37" t="str">
        <f aca="false">IF($B14="","",INDEX(WuHow,MATCH(3,$AD$12:$AD$60,0)))</f>
        <v>Lunge, elbow to instep, rotate open. 5 per side, no rush.</v>
      </c>
      <c r="G14" s="37"/>
      <c r="H14" s="37"/>
      <c r="I14" s="37"/>
      <c r="J14" s="37"/>
      <c r="K14" s="37"/>
      <c r="L14" s="37"/>
      <c r="M14" s="37"/>
      <c r="N14" s="2"/>
      <c r="O14" s="2"/>
      <c r="P14" s="2"/>
      <c r="Q14" s="2"/>
      <c r="R14" s="2"/>
      <c r="S14" s="2"/>
      <c r="T14" s="2"/>
      <c r="U14" s="2"/>
      <c r="V14" s="2"/>
      <c r="W14" s="2"/>
      <c r="X14" s="2"/>
      <c r="Y14" s="2" t="n">
        <f aca="false">IF(OR(INDEX(WuTrigger,3)="Always",COUNTIF($D$30:$D$51,INDEX(WuTrigger,3))&gt;0,COUNTIF($E$30:$E$51,INDEX(WuTrigger,3))&gt;0),1,0)</f>
        <v>1</v>
      </c>
      <c r="Z14" s="2" t="n">
        <f aca="false">INDEX(WuPriority,3)*1000+3</f>
        <v>4003</v>
      </c>
      <c r="AA14" s="2" t="n">
        <f aca="false">IF($Y14=0,"",SUMIFS(WuMin,$Y$12:$Y$60,1,$Z$12:$Z$60,"&lt;="&amp;$Z14))</f>
        <v>12</v>
      </c>
      <c r="AB14" s="2" t="n">
        <f aca="false">IF(AND($Y14=1,$AA14&lt;=$B$6),1,0)</f>
        <v>1</v>
      </c>
      <c r="AC14" s="2" t="n">
        <f aca="false">INDEX(WuPhaseN,3)*1000+3</f>
        <v>2003</v>
      </c>
      <c r="AD14" s="2" t="n">
        <f aca="false">IF($AB14=0,"",COUNTIFS($AB$12:$AB$60,1,$AC$12:$AC$60,"&lt;"&amp;$AC14)+1)</f>
        <v>3</v>
      </c>
      <c r="AE14" s="2"/>
      <c r="AF14" s="2" t="n">
        <f aca="false">IF(OR(INDEX(MoTarget,3)="Always",COUNTIF($E$30:$E$51,INDEX(MoTarget,3))&gt;0,COUNTIF($F$30:$F$51,"*"&amp;INDEX(MoTarget,3)&amp;"*")&gt;0),1,0)</f>
        <v>1</v>
      </c>
      <c r="AG14" s="2" t="n">
        <f aca="false">INDEX(MoPriority,3)*1000+3</f>
        <v>3003</v>
      </c>
      <c r="AH14" s="2" t="n">
        <f aca="false">IF($AF14=0,"",SUMIFS(MoMin,$AF$12:$AF$54,1,$AG$12:$AG$54,"&lt;="&amp;$AG14))</f>
        <v>7</v>
      </c>
      <c r="AI14" s="2" t="n">
        <f aca="false">IF(AND($AF14=1,$AH14&lt;=$B$7),1,0)</f>
        <v>1</v>
      </c>
      <c r="AJ14" s="2" t="n">
        <f aca="false">INDEX(MoTypeN,3)*1000+3</f>
        <v>1003</v>
      </c>
      <c r="AK14" s="2" t="n">
        <f aca="false">IF($AI14=0,"",COUNTIFS($AI$12:$AI$54,1,$AJ$12:$AJ$54,"&lt;"&amp;$AJ14)+1)</f>
        <v>3</v>
      </c>
    </row>
    <row r="15" customFormat="false" ht="24" hidden="false" customHeight="true" outlineLevel="0" collapsed="false">
      <c r="A15" s="35" t="n">
        <v>4</v>
      </c>
      <c r="B15" s="36" t="str">
        <f aca="false">IFERROR(INDEX(WuName,MATCH(4,$AD$12:$AD$60,0)),"")</f>
        <v>Specific ramp-up sets</v>
      </c>
      <c r="C15" s="36" t="str">
        <f aca="false">IF($B15="","",INDEX(WuPhase,MATCH(4,$AD$12:$AD$60,0)))</f>
        <v>4 Specific</v>
      </c>
      <c r="D15" s="36" t="str">
        <f aca="false">IF($B15="","",INDEX(WuTrigger,MATCH(4,$AD$12:$AD$60,0)))</f>
        <v>Always</v>
      </c>
      <c r="E15" s="35" t="n">
        <f aca="false">IF($B15="","",INDEX(WuMin,MATCH(4,$AD$12:$AD$60,0)))</f>
        <v>5</v>
      </c>
      <c r="F15" s="37" t="str">
        <f aca="false">IF($B15="","",INDEX(WuHow,MATCH(4,$AD$12:$AD$60,0)))</f>
        <v>2–4 progressively heavier sets of your first main lift: roughly 40%, 60%, 80% of the working weight.</v>
      </c>
      <c r="G15" s="37"/>
      <c r="H15" s="37"/>
      <c r="I15" s="37"/>
      <c r="J15" s="37"/>
      <c r="K15" s="37"/>
      <c r="L15" s="37"/>
      <c r="M15" s="37"/>
      <c r="N15" s="2"/>
      <c r="O15" s="2"/>
      <c r="P15" s="2"/>
      <c r="Q15" s="2"/>
      <c r="R15" s="2"/>
      <c r="S15" s="2"/>
      <c r="T15" s="2"/>
      <c r="U15" s="2"/>
      <c r="V15" s="2"/>
      <c r="W15" s="2"/>
      <c r="X15" s="2"/>
      <c r="Y15" s="2" t="n">
        <f aca="false">IF(OR(INDEX(WuTrigger,4)="Always",COUNTIF($D$30:$D$51,INDEX(WuTrigger,4))&gt;0,COUNTIF($E$30:$E$51,INDEX(WuTrigger,4))&gt;0),1,0)</f>
        <v>1</v>
      </c>
      <c r="Z15" s="2" t="n">
        <f aca="false">INDEX(WuPriority,4)*1000+4</f>
        <v>2004</v>
      </c>
      <c r="AA15" s="2" t="n">
        <f aca="false">IF($Y15=0,"",SUMIFS(WuMin,$Y$12:$Y$60,1,$Z$12:$Z$60,"&lt;="&amp;$Z15))</f>
        <v>9</v>
      </c>
      <c r="AB15" s="2" t="n">
        <f aca="false">IF(AND($Y15=1,$AA15&lt;=$B$6),1,0)</f>
        <v>1</v>
      </c>
      <c r="AC15" s="2" t="n">
        <f aca="false">INDEX(WuPhaseN,4)*1000+4</f>
        <v>4004</v>
      </c>
      <c r="AD15" s="2" t="n">
        <f aca="false">IF($AB15=0,"",COUNTIFS($AB$12:$AB$60,1,$AC$12:$AC$60,"&lt;"&amp;$AC15)+1)</f>
        <v>4</v>
      </c>
      <c r="AE15" s="2"/>
      <c r="AF15" s="2" t="n">
        <f aca="false">IF(OR(INDEX(MoTarget,4)="Always",COUNTIF($E$30:$E$51,INDEX(MoTarget,4))&gt;0,COUNTIF($F$30:$F$51,"*"&amp;INDEX(MoTarget,4)&amp;"*")&gt;0),1,0)</f>
        <v>1</v>
      </c>
      <c r="AG15" s="2" t="n">
        <f aca="false">INDEX(MoPriority,4)*1000+4</f>
        <v>4004</v>
      </c>
      <c r="AH15" s="2" t="n">
        <f aca="false">IF($AF15=0,"",SUMIFS(MoMin,$AF$12:$AF$54,1,$AG$12:$AG$54,"&lt;="&amp;$AG15))</f>
        <v>9</v>
      </c>
      <c r="AI15" s="2" t="n">
        <f aca="false">IF(AND($AF15=1,$AH15&lt;=$B$7),1,0)</f>
        <v>0</v>
      </c>
      <c r="AJ15" s="2" t="n">
        <f aca="false">INDEX(MoTypeN,4)*1000+4</f>
        <v>5004</v>
      </c>
      <c r="AK15" s="2" t="str">
        <f aca="false">IF($AI15=0,"",COUNTIFS($AI$12:$AI$54,1,$AJ$12:$AJ$54,"&lt;"&amp;$AJ15)+1)</f>
        <v/>
      </c>
    </row>
    <row r="16" customFormat="false" ht="24" hidden="false" customHeight="true" outlineLevel="0" collapsed="false">
      <c r="A16" s="35" t="n">
        <v>5</v>
      </c>
      <c r="B16" s="36" t="str">
        <f aca="false">IFERROR(INDEX(WuName,MATCH(5,$AD$12:$AD$60,0)),"")</f>
        <v/>
      </c>
      <c r="C16" s="36" t="str">
        <f aca="false">IF($B16="","",INDEX(WuPhase,MATCH(5,$AD$12:$AD$60,0)))</f>
        <v/>
      </c>
      <c r="D16" s="36" t="str">
        <f aca="false">IF($B16="","",INDEX(WuTrigger,MATCH(5,$AD$12:$AD$60,0)))</f>
        <v/>
      </c>
      <c r="E16" s="35" t="str">
        <f aca="false">IF($B16="","",INDEX(WuMin,MATCH(5,$AD$12:$AD$60,0)))</f>
        <v/>
      </c>
      <c r="F16" s="37" t="str">
        <f aca="false">IF($B16="","",INDEX(WuHow,MATCH(5,$AD$12:$AD$60,0)))</f>
        <v/>
      </c>
      <c r="G16" s="37"/>
      <c r="H16" s="37"/>
      <c r="I16" s="37"/>
      <c r="J16" s="37"/>
      <c r="K16" s="37"/>
      <c r="L16" s="37"/>
      <c r="M16" s="37"/>
      <c r="N16" s="2"/>
      <c r="O16" s="2"/>
      <c r="P16" s="2"/>
      <c r="Q16" s="2"/>
      <c r="R16" s="2"/>
      <c r="S16" s="2"/>
      <c r="T16" s="2"/>
      <c r="U16" s="2"/>
      <c r="V16" s="2"/>
      <c r="W16" s="2"/>
      <c r="X16" s="2"/>
      <c r="Y16" s="2" t="n">
        <f aca="false">IF(OR(INDEX(WuTrigger,5)="Always",COUNTIF($D$30:$D$51,INDEX(WuTrigger,5))&gt;0,COUNTIF($E$30:$E$51,INDEX(WuTrigger,5))&gt;0),1,0)</f>
        <v>0</v>
      </c>
      <c r="Z16" s="2" t="n">
        <f aca="false">INDEX(WuPriority,5)*1000+5</f>
        <v>5005</v>
      </c>
      <c r="AA16" s="2" t="str">
        <f aca="false">IF($Y16=0,"",SUMIFS(WuMin,$Y$12:$Y$60,1,$Z$12:$Z$60,"&lt;="&amp;$Z16))</f>
        <v/>
      </c>
      <c r="AB16" s="2" t="n">
        <f aca="false">IF(AND($Y16=1,$AA16&lt;=$B$6),1,0)</f>
        <v>0</v>
      </c>
      <c r="AC16" s="2" t="n">
        <f aca="false">INDEX(WuPhaseN,5)*1000+5</f>
        <v>2005</v>
      </c>
      <c r="AD16" s="2" t="str">
        <f aca="false">IF($AB16=0,"",COUNTIFS($AB$12:$AB$60,1,$AC$12:$AC$60,"&lt;"&amp;$AC16)+1)</f>
        <v/>
      </c>
      <c r="AE16" s="2"/>
      <c r="AF16" s="2" t="n">
        <f aca="false">IF(OR(INDEX(MoTarget,5)="Always",COUNTIF($E$30:$E$51,INDEX(MoTarget,5))&gt;0,COUNTIF($F$30:$F$51,"*"&amp;INDEX(MoTarget,5)&amp;"*")&gt;0),1,0)</f>
        <v>1</v>
      </c>
      <c r="AG16" s="2" t="n">
        <f aca="false">INDEX(MoPriority,5)*1000+5</f>
        <v>6005</v>
      </c>
      <c r="AH16" s="2" t="n">
        <f aca="false">IF($AF16=0,"",SUMIFS(MoMin,$AF$12:$AF$54,1,$AG$12:$AG$54,"&lt;="&amp;$AG16))</f>
        <v>12</v>
      </c>
      <c r="AI16" s="2" t="n">
        <f aca="false">IF(AND($AF16=1,$AH16&lt;=$B$7),1,0)</f>
        <v>0</v>
      </c>
      <c r="AJ16" s="2" t="n">
        <f aca="false">INDEX(MoTypeN,5)*1000+5</f>
        <v>5005</v>
      </c>
      <c r="AK16" s="2" t="str">
        <f aca="false">IF($AI16=0,"",COUNTIFS($AI$12:$AI$54,1,$AJ$12:$AJ$54,"&lt;"&amp;$AJ16)+1)</f>
        <v/>
      </c>
    </row>
    <row r="17" customFormat="false" ht="24" hidden="false" customHeight="true" outlineLevel="0" collapsed="false">
      <c r="A17" s="35" t="n">
        <v>6</v>
      </c>
      <c r="B17" s="36" t="str">
        <f aca="false">IFERROR(INDEX(WuName,MATCH(6,$AD$12:$AD$60,0)),"")</f>
        <v/>
      </c>
      <c r="C17" s="36" t="str">
        <f aca="false">IF($B17="","",INDEX(WuPhase,MATCH(6,$AD$12:$AD$60,0)))</f>
        <v/>
      </c>
      <c r="D17" s="36" t="str">
        <f aca="false">IF($B17="","",INDEX(WuTrigger,MATCH(6,$AD$12:$AD$60,0)))</f>
        <v/>
      </c>
      <c r="E17" s="35" t="str">
        <f aca="false">IF($B17="","",INDEX(WuMin,MATCH(6,$AD$12:$AD$60,0)))</f>
        <v/>
      </c>
      <c r="F17" s="37" t="str">
        <f aca="false">IF($B17="","",INDEX(WuHow,MATCH(6,$AD$12:$AD$60,0)))</f>
        <v/>
      </c>
      <c r="G17" s="37"/>
      <c r="H17" s="37"/>
      <c r="I17" s="37"/>
      <c r="J17" s="37"/>
      <c r="K17" s="37"/>
      <c r="L17" s="37"/>
      <c r="M17" s="37"/>
      <c r="N17" s="2"/>
      <c r="O17" s="2"/>
      <c r="P17" s="2"/>
      <c r="Q17" s="2"/>
      <c r="R17" s="2"/>
      <c r="S17" s="2"/>
      <c r="T17" s="2"/>
      <c r="U17" s="2"/>
      <c r="V17" s="2"/>
      <c r="W17" s="2"/>
      <c r="X17" s="2"/>
      <c r="Y17" s="2" t="n">
        <f aca="false">IF(OR(INDEX(WuTrigger,6)="Always",COUNTIF($D$30:$D$51,INDEX(WuTrigger,6))&gt;0,COUNTIF($E$30:$E$51,INDEX(WuTrigger,6))&gt;0),1,0)</f>
        <v>0</v>
      </c>
      <c r="Z17" s="2" t="n">
        <f aca="false">INDEX(WuPriority,6)*1000+6</f>
        <v>6006</v>
      </c>
      <c r="AA17" s="2" t="str">
        <f aca="false">IF($Y17=0,"",SUMIFS(WuMin,$Y$12:$Y$60,1,$Z$12:$Z$60,"&lt;="&amp;$Z17))</f>
        <v/>
      </c>
      <c r="AB17" s="2" t="n">
        <f aca="false">IF(AND($Y17=1,$AA17&lt;=$B$6),1,0)</f>
        <v>0</v>
      </c>
      <c r="AC17" s="2" t="n">
        <f aca="false">INDEX(WuPhaseN,6)*1000+6</f>
        <v>2006</v>
      </c>
      <c r="AD17" s="2" t="str">
        <f aca="false">IF($AB17=0,"",COUNTIFS($AB$12:$AB$60,1,$AC$12:$AC$60,"&lt;"&amp;$AC17)+1)</f>
        <v/>
      </c>
      <c r="AE17" s="2"/>
      <c r="AF17" s="2" t="n">
        <f aca="false">IF(OR(INDEX(MoTarget,6)="Always",COUNTIF($E$30:$E$51,INDEX(MoTarget,6))&gt;0,COUNTIF($F$30:$F$51,"*"&amp;INDEX(MoTarget,6)&amp;"*")&gt;0),1,0)</f>
        <v>1</v>
      </c>
      <c r="AG17" s="2" t="n">
        <f aca="false">INDEX(MoPriority,6)*1000+6</f>
        <v>7006</v>
      </c>
      <c r="AH17" s="2" t="n">
        <f aca="false">IF($AF17=0,"",SUMIFS(MoMin,$AF$12:$AF$54,1,$AG$12:$AG$54,"&lt;="&amp;$AG17))</f>
        <v>18</v>
      </c>
      <c r="AI17" s="2" t="n">
        <f aca="false">IF(AND($AF17=1,$AH17&lt;=$B$7),1,0)</f>
        <v>0</v>
      </c>
      <c r="AJ17" s="2" t="n">
        <f aca="false">INDEX(MoTypeN,6)*1000+6</f>
        <v>5006</v>
      </c>
      <c r="AK17" s="2" t="str">
        <f aca="false">IF($AI17=0,"",COUNTIFS($AI$12:$AI$54,1,$AJ$12:$AJ$54,"&lt;"&amp;$AJ17)+1)</f>
        <v/>
      </c>
    </row>
    <row r="18" customFormat="false" ht="24" hidden="false" customHeight="true" outlineLevel="0" collapsed="false">
      <c r="A18" s="35" t="n">
        <v>7</v>
      </c>
      <c r="B18" s="36" t="str">
        <f aca="false">IFERROR(INDEX(WuName,MATCH(7,$AD$12:$AD$60,0)),"")</f>
        <v/>
      </c>
      <c r="C18" s="36" t="str">
        <f aca="false">IF($B18="","",INDEX(WuPhase,MATCH(7,$AD$12:$AD$60,0)))</f>
        <v/>
      </c>
      <c r="D18" s="36" t="str">
        <f aca="false">IF($B18="","",INDEX(WuTrigger,MATCH(7,$AD$12:$AD$60,0)))</f>
        <v/>
      </c>
      <c r="E18" s="35" t="str">
        <f aca="false">IF($B18="","",INDEX(WuMin,MATCH(7,$AD$12:$AD$60,0)))</f>
        <v/>
      </c>
      <c r="F18" s="37" t="str">
        <f aca="false">IF($B18="","",INDEX(WuHow,MATCH(7,$AD$12:$AD$60,0)))</f>
        <v/>
      </c>
      <c r="G18" s="37"/>
      <c r="H18" s="37"/>
      <c r="I18" s="37"/>
      <c r="J18" s="37"/>
      <c r="K18" s="37"/>
      <c r="L18" s="37"/>
      <c r="M18" s="37"/>
      <c r="N18" s="2"/>
      <c r="O18" s="2"/>
      <c r="P18" s="2"/>
      <c r="Q18" s="2"/>
      <c r="R18" s="2"/>
      <c r="S18" s="2"/>
      <c r="T18" s="2"/>
      <c r="U18" s="2"/>
      <c r="V18" s="2"/>
      <c r="W18" s="2"/>
      <c r="X18" s="2"/>
      <c r="Y18" s="2" t="n">
        <f aca="false">IF(OR(INDEX(WuTrigger,7)="Always",COUNTIF($D$30:$D$51,INDEX(WuTrigger,7))&gt;0,COUNTIF($E$30:$E$51,INDEX(WuTrigger,7))&gt;0),1,0)</f>
        <v>0</v>
      </c>
      <c r="Z18" s="2" t="n">
        <f aca="false">INDEX(WuPriority,7)*1000+7</f>
        <v>3007</v>
      </c>
      <c r="AA18" s="2" t="str">
        <f aca="false">IF($Y18=0,"",SUMIFS(WuMin,$Y$12:$Y$60,1,$Z$12:$Z$60,"&lt;="&amp;$Z18))</f>
        <v/>
      </c>
      <c r="AB18" s="2" t="n">
        <f aca="false">IF(AND($Y18=1,$AA18&lt;=$B$6),1,0)</f>
        <v>0</v>
      </c>
      <c r="AC18" s="2" t="n">
        <f aca="false">INDEX(WuPhaseN,7)*1000+7</f>
        <v>3007</v>
      </c>
      <c r="AD18" s="2" t="str">
        <f aca="false">IF($AB18=0,"",COUNTIFS($AB$12:$AB$60,1,$AC$12:$AC$60,"&lt;"&amp;$AC18)+1)</f>
        <v/>
      </c>
      <c r="AE18" s="2"/>
      <c r="AF18" s="2" t="n">
        <f aca="false">IF(OR(INDEX(MoTarget,7)="Always",COUNTIF($E$30:$E$51,INDEX(MoTarget,7))&gt;0,COUNTIF($F$30:$F$51,"*"&amp;INDEX(MoTarget,7)&amp;"*")&gt;0),1,0)</f>
        <v>1</v>
      </c>
      <c r="AG18" s="2" t="n">
        <f aca="false">INDEX(MoPriority,7)*1000+7</f>
        <v>6007</v>
      </c>
      <c r="AH18" s="2" t="n">
        <f aca="false">IF($AF18=0,"",SUMIFS(MoMin,$AF$12:$AF$54,1,$AG$12:$AG$54,"&lt;="&amp;$AG18))</f>
        <v>15</v>
      </c>
      <c r="AI18" s="2" t="n">
        <f aca="false">IF(AND($AF18=1,$AH18&lt;=$B$7),1,0)</f>
        <v>0</v>
      </c>
      <c r="AJ18" s="2" t="n">
        <f aca="false">INDEX(MoTypeN,7)*1000+7</f>
        <v>5007</v>
      </c>
      <c r="AK18" s="2" t="str">
        <f aca="false">IF($AI18=0,"",COUNTIFS($AI$12:$AI$54,1,$AJ$12:$AJ$54,"&lt;"&amp;$AJ18)+1)</f>
        <v/>
      </c>
    </row>
    <row r="19" customFormat="false" ht="24" hidden="false" customHeight="true" outlineLevel="0" collapsed="false">
      <c r="A19" s="35" t="n">
        <v>8</v>
      </c>
      <c r="B19" s="36" t="str">
        <f aca="false">IFERROR(INDEX(WuName,MATCH(8,$AD$12:$AD$60,0)),"")</f>
        <v/>
      </c>
      <c r="C19" s="36" t="str">
        <f aca="false">IF($B19="","",INDEX(WuPhase,MATCH(8,$AD$12:$AD$60,0)))</f>
        <v/>
      </c>
      <c r="D19" s="36" t="str">
        <f aca="false">IF($B19="","",INDEX(WuTrigger,MATCH(8,$AD$12:$AD$60,0)))</f>
        <v/>
      </c>
      <c r="E19" s="35" t="str">
        <f aca="false">IF($B19="","",INDEX(WuMin,MATCH(8,$AD$12:$AD$60,0)))</f>
        <v/>
      </c>
      <c r="F19" s="37" t="str">
        <f aca="false">IF($B19="","",INDEX(WuHow,MATCH(8,$AD$12:$AD$60,0)))</f>
        <v/>
      </c>
      <c r="G19" s="37"/>
      <c r="H19" s="37"/>
      <c r="I19" s="37"/>
      <c r="J19" s="37"/>
      <c r="K19" s="37"/>
      <c r="L19" s="37"/>
      <c r="M19" s="37"/>
      <c r="N19" s="2"/>
      <c r="O19" s="2"/>
      <c r="P19" s="2"/>
      <c r="Q19" s="2"/>
      <c r="R19" s="2"/>
      <c r="S19" s="2"/>
      <c r="T19" s="2"/>
      <c r="U19" s="2"/>
      <c r="V19" s="2"/>
      <c r="W19" s="2"/>
      <c r="X19" s="2"/>
      <c r="Y19" s="2" t="n">
        <f aca="false">IF(OR(INDEX(WuTrigger,8)="Always",COUNTIF($D$30:$D$51,INDEX(WuTrigger,8))&gt;0,COUNTIF($E$30:$E$51,INDEX(WuTrigger,8))&gt;0),1,0)</f>
        <v>0</v>
      </c>
      <c r="Z19" s="2" t="n">
        <f aca="false">INDEX(WuPriority,8)*1000+8</f>
        <v>4008</v>
      </c>
      <c r="AA19" s="2" t="str">
        <f aca="false">IF($Y19=0,"",SUMIFS(WuMin,$Y$12:$Y$60,1,$Z$12:$Z$60,"&lt;="&amp;$Z19))</f>
        <v/>
      </c>
      <c r="AB19" s="2" t="n">
        <f aca="false">IF(AND($Y19=1,$AA19&lt;=$B$6),1,0)</f>
        <v>0</v>
      </c>
      <c r="AC19" s="2" t="n">
        <f aca="false">INDEX(WuPhaseN,8)*1000+8</f>
        <v>3008</v>
      </c>
      <c r="AD19" s="2" t="str">
        <f aca="false">IF($AB19=0,"",COUNTIFS($AB$12:$AB$60,1,$AC$12:$AC$60,"&lt;"&amp;$AC19)+1)</f>
        <v/>
      </c>
      <c r="AE19" s="2"/>
      <c r="AF19" s="2" t="n">
        <f aca="false">IF(OR(INDEX(MoTarget,8)="Always",COUNTIF($E$30:$E$51,INDEX(MoTarget,8))&gt;0,COUNTIF($F$30:$F$51,"*"&amp;INDEX(MoTarget,8)&amp;"*")&gt;0),1,0)</f>
        <v>0</v>
      </c>
      <c r="AG19" s="2" t="n">
        <f aca="false">INDEX(MoPriority,8)*1000+8</f>
        <v>2008</v>
      </c>
      <c r="AH19" s="2" t="str">
        <f aca="false">IF($AF19=0,"",SUMIFS(MoMin,$AF$12:$AF$54,1,$AG$12:$AG$54,"&lt;="&amp;$AG19))</f>
        <v/>
      </c>
      <c r="AI19" s="2" t="n">
        <f aca="false">IF(AND($AF19=1,$AH19&lt;=$B$7),1,0)</f>
        <v>0</v>
      </c>
      <c r="AJ19" s="2" t="n">
        <f aca="false">INDEX(MoTypeN,8)*1000+8</f>
        <v>2008</v>
      </c>
      <c r="AK19" s="2" t="str">
        <f aca="false">IF($AI19=0,"",COUNTIFS($AI$12:$AI$54,1,$AJ$12:$AJ$54,"&lt;"&amp;$AJ19)+1)</f>
        <v/>
      </c>
    </row>
    <row r="20" customFormat="false" ht="24" hidden="false" customHeight="true" outlineLevel="0" collapsed="false">
      <c r="A20" s="35" t="n">
        <v>9</v>
      </c>
      <c r="B20" s="36" t="str">
        <f aca="false">IFERROR(INDEX(WuName,MATCH(9,$AD$12:$AD$60,0)),"")</f>
        <v/>
      </c>
      <c r="C20" s="36" t="str">
        <f aca="false">IF($B20="","",INDEX(WuPhase,MATCH(9,$AD$12:$AD$60,0)))</f>
        <v/>
      </c>
      <c r="D20" s="36" t="str">
        <f aca="false">IF($B20="","",INDEX(WuTrigger,MATCH(9,$AD$12:$AD$60,0)))</f>
        <v/>
      </c>
      <c r="E20" s="35" t="str">
        <f aca="false">IF($B20="","",INDEX(WuMin,MATCH(9,$AD$12:$AD$60,0)))</f>
        <v/>
      </c>
      <c r="F20" s="37" t="str">
        <f aca="false">IF($B20="","",INDEX(WuHow,MATCH(9,$AD$12:$AD$60,0)))</f>
        <v/>
      </c>
      <c r="G20" s="37"/>
      <c r="H20" s="37"/>
      <c r="I20" s="37"/>
      <c r="J20" s="37"/>
      <c r="K20" s="37"/>
      <c r="L20" s="37"/>
      <c r="M20" s="37"/>
      <c r="N20" s="2"/>
      <c r="O20" s="2"/>
      <c r="P20" s="2"/>
      <c r="Q20" s="2"/>
      <c r="R20" s="2"/>
      <c r="S20" s="2"/>
      <c r="T20" s="2"/>
      <c r="U20" s="2"/>
      <c r="V20" s="2"/>
      <c r="W20" s="2"/>
      <c r="X20" s="2"/>
      <c r="Y20" s="2" t="n">
        <f aca="false">IF(OR(INDEX(WuTrigger,9)="Always",COUNTIF($D$30:$D$51,INDEX(WuTrigger,9))&gt;0,COUNTIF($E$30:$E$51,INDEX(WuTrigger,9))&gt;0),1,0)</f>
        <v>0</v>
      </c>
      <c r="Z20" s="2" t="n">
        <f aca="false">INDEX(WuPriority,9)*1000+9</f>
        <v>5009</v>
      </c>
      <c r="AA20" s="2" t="str">
        <f aca="false">IF($Y20=0,"",SUMIFS(WuMin,$Y$12:$Y$60,1,$Z$12:$Z$60,"&lt;="&amp;$Z20))</f>
        <v/>
      </c>
      <c r="AB20" s="2" t="n">
        <f aca="false">IF(AND($Y20=1,$AA20&lt;=$B$6),1,0)</f>
        <v>0</v>
      </c>
      <c r="AC20" s="2" t="n">
        <f aca="false">INDEX(WuPhaseN,9)*1000+9</f>
        <v>2009</v>
      </c>
      <c r="AD20" s="2" t="str">
        <f aca="false">IF($AB20=0,"",COUNTIFS($AB$12:$AB$60,1,$AC$12:$AC$60,"&lt;"&amp;$AC20)+1)</f>
        <v/>
      </c>
      <c r="AE20" s="2"/>
      <c r="AF20" s="2" t="n">
        <f aca="false">IF(OR(INDEX(MoTarget,9)="Always",COUNTIF($E$30:$E$51,INDEX(MoTarget,9))&gt;0,COUNTIF($F$30:$F$51,"*"&amp;INDEX(MoTarget,9)&amp;"*")&gt;0),1,0)</f>
        <v>0</v>
      </c>
      <c r="AG20" s="2" t="n">
        <f aca="false">INDEX(MoPriority,9)*1000+9</f>
        <v>2009</v>
      </c>
      <c r="AH20" s="2" t="str">
        <f aca="false">IF($AF20=0,"",SUMIFS(MoMin,$AF$12:$AF$54,1,$AG$12:$AG$54,"&lt;="&amp;$AG20))</f>
        <v/>
      </c>
      <c r="AI20" s="2" t="n">
        <f aca="false">IF(AND($AF20=1,$AH20&lt;=$B$7),1,0)</f>
        <v>0</v>
      </c>
      <c r="AJ20" s="2" t="n">
        <f aca="false">INDEX(MoTypeN,9)*1000+9</f>
        <v>2009</v>
      </c>
      <c r="AK20" s="2" t="str">
        <f aca="false">IF($AI20=0,"",COUNTIFS($AI$12:$AI$54,1,$AJ$12:$AJ$54,"&lt;"&amp;$AJ20)+1)</f>
        <v/>
      </c>
    </row>
    <row r="21" customFormat="false" ht="24" hidden="false" customHeight="true" outlineLevel="0" collapsed="false">
      <c r="A21" s="35" t="n">
        <v>10</v>
      </c>
      <c r="B21" s="36" t="str">
        <f aca="false">IFERROR(INDEX(WuName,MATCH(10,$AD$12:$AD$60,0)),"")</f>
        <v/>
      </c>
      <c r="C21" s="36" t="str">
        <f aca="false">IF($B21="","",INDEX(WuPhase,MATCH(10,$AD$12:$AD$60,0)))</f>
        <v/>
      </c>
      <c r="D21" s="36" t="str">
        <f aca="false">IF($B21="","",INDEX(WuTrigger,MATCH(10,$AD$12:$AD$60,0)))</f>
        <v/>
      </c>
      <c r="E21" s="35" t="str">
        <f aca="false">IF($B21="","",INDEX(WuMin,MATCH(10,$AD$12:$AD$60,0)))</f>
        <v/>
      </c>
      <c r="F21" s="37" t="str">
        <f aca="false">IF($B21="","",INDEX(WuHow,MATCH(10,$AD$12:$AD$60,0)))</f>
        <v/>
      </c>
      <c r="G21" s="37"/>
      <c r="H21" s="37"/>
      <c r="I21" s="37"/>
      <c r="J21" s="37"/>
      <c r="K21" s="37"/>
      <c r="L21" s="37"/>
      <c r="M21" s="37"/>
      <c r="N21" s="2"/>
      <c r="O21" s="2"/>
      <c r="P21" s="2"/>
      <c r="Q21" s="2"/>
      <c r="R21" s="2"/>
      <c r="S21" s="2"/>
      <c r="T21" s="2"/>
      <c r="U21" s="2"/>
      <c r="V21" s="2"/>
      <c r="W21" s="2"/>
      <c r="X21" s="2"/>
      <c r="Y21" s="2" t="n">
        <f aca="false">IF(OR(INDEX(WuTrigger,10)="Always",COUNTIF($D$30:$D$51,INDEX(WuTrigger,10))&gt;0,COUNTIF($E$30:$E$51,INDEX(WuTrigger,10))&gt;0),1,0)</f>
        <v>0</v>
      </c>
      <c r="Z21" s="2" t="n">
        <f aca="false">INDEX(WuPriority,10)*1000+10</f>
        <v>3010</v>
      </c>
      <c r="AA21" s="2" t="str">
        <f aca="false">IF($Y21=0,"",SUMIFS(WuMin,$Y$12:$Y$60,1,$Z$12:$Z$60,"&lt;="&amp;$Z21))</f>
        <v/>
      </c>
      <c r="AB21" s="2" t="n">
        <f aca="false">IF(AND($Y21=1,$AA21&lt;=$B$6),1,0)</f>
        <v>0</v>
      </c>
      <c r="AC21" s="2" t="n">
        <f aca="false">INDEX(WuPhaseN,10)*1000+10</f>
        <v>3010</v>
      </c>
      <c r="AD21" s="2" t="str">
        <f aca="false">IF($AB21=0,"",COUNTIFS($AB$12:$AB$60,1,$AC$12:$AC$60,"&lt;"&amp;$AC21)+1)</f>
        <v/>
      </c>
      <c r="AE21" s="2"/>
      <c r="AF21" s="2" t="n">
        <f aca="false">IF(OR(INDEX(MoTarget,10)="Always",COUNTIF($E$30:$E$51,INDEX(MoTarget,10))&gt;0,COUNTIF($F$30:$F$51,"*"&amp;INDEX(MoTarget,10)&amp;"*")&gt;0),1,0)</f>
        <v>0</v>
      </c>
      <c r="AG21" s="2" t="n">
        <f aca="false">INDEX(MoPriority,10)*1000+10</f>
        <v>4010</v>
      </c>
      <c r="AH21" s="2" t="str">
        <f aca="false">IF($AF21=0,"",SUMIFS(MoMin,$AF$12:$AF$54,1,$AG$12:$AG$54,"&lt;="&amp;$AG21))</f>
        <v/>
      </c>
      <c r="AI21" s="2" t="n">
        <f aca="false">IF(AND($AF21=1,$AH21&lt;=$B$7),1,0)</f>
        <v>0</v>
      </c>
      <c r="AJ21" s="2" t="n">
        <f aca="false">INDEX(MoTypeN,10)*1000+10</f>
        <v>2010</v>
      </c>
      <c r="AK21" s="2" t="str">
        <f aca="false">IF($AI21=0,"",COUNTIFS($AI$12:$AI$54,1,$AJ$12:$AJ$54,"&lt;"&amp;$AJ21)+1)</f>
        <v/>
      </c>
    </row>
    <row r="22" customFormat="false" ht="24" hidden="false" customHeight="true" outlineLevel="0" collapsed="false">
      <c r="A22" s="35" t="n">
        <v>11</v>
      </c>
      <c r="B22" s="36" t="str">
        <f aca="false">IFERROR(INDEX(WuName,MATCH(11,$AD$12:$AD$60,0)),"")</f>
        <v/>
      </c>
      <c r="C22" s="36" t="str">
        <f aca="false">IF($B22="","",INDEX(WuPhase,MATCH(11,$AD$12:$AD$60,0)))</f>
        <v/>
      </c>
      <c r="D22" s="36" t="str">
        <f aca="false">IF($B22="","",INDEX(WuTrigger,MATCH(11,$AD$12:$AD$60,0)))</f>
        <v/>
      </c>
      <c r="E22" s="35" t="str">
        <f aca="false">IF($B22="","",INDEX(WuMin,MATCH(11,$AD$12:$AD$60,0)))</f>
        <v/>
      </c>
      <c r="F22" s="37" t="str">
        <f aca="false">IF($B22="","",INDEX(WuHow,MATCH(11,$AD$12:$AD$60,0)))</f>
        <v/>
      </c>
      <c r="G22" s="37"/>
      <c r="H22" s="37"/>
      <c r="I22" s="37"/>
      <c r="J22" s="37"/>
      <c r="K22" s="37"/>
      <c r="L22" s="37"/>
      <c r="M22" s="37"/>
      <c r="N22" s="2"/>
      <c r="O22" s="2"/>
      <c r="P22" s="2"/>
      <c r="Q22" s="2"/>
      <c r="R22" s="2"/>
      <c r="S22" s="2"/>
      <c r="T22" s="2"/>
      <c r="U22" s="2"/>
      <c r="V22" s="2"/>
      <c r="W22" s="2"/>
      <c r="X22" s="2"/>
      <c r="Y22" s="2" t="n">
        <f aca="false">IF(OR(INDEX(WuTrigger,11)="Always",COUNTIF($D$30:$D$51,INDEX(WuTrigger,11))&gt;0,COUNTIF($E$30:$E$51,INDEX(WuTrigger,11))&gt;0),1,0)</f>
        <v>0</v>
      </c>
      <c r="Z22" s="2" t="n">
        <f aca="false">INDEX(WuPriority,11)*1000+11</f>
        <v>4011</v>
      </c>
      <c r="AA22" s="2" t="str">
        <f aca="false">IF($Y22=0,"",SUMIFS(WuMin,$Y$12:$Y$60,1,$Z$12:$Z$60,"&lt;="&amp;$Z22))</f>
        <v/>
      </c>
      <c r="AB22" s="2" t="n">
        <f aca="false">IF(AND($Y22=1,$AA22&lt;=$B$6),1,0)</f>
        <v>0</v>
      </c>
      <c r="AC22" s="2" t="n">
        <f aca="false">INDEX(WuPhaseN,11)*1000+11</f>
        <v>3011</v>
      </c>
      <c r="AD22" s="2" t="str">
        <f aca="false">IF($AB22=0,"",COUNTIFS($AB$12:$AB$60,1,$AC$12:$AC$60,"&lt;"&amp;$AC22)+1)</f>
        <v/>
      </c>
      <c r="AE22" s="2"/>
      <c r="AF22" s="2" t="n">
        <f aca="false">IF(OR(INDEX(MoTarget,11)="Always",COUNTIF($E$30:$E$51,INDEX(MoTarget,11))&gt;0,COUNTIF($F$30:$F$51,"*"&amp;INDEX(MoTarget,11)&amp;"*")&gt;0),1,0)</f>
        <v>0</v>
      </c>
      <c r="AG22" s="2" t="n">
        <f aca="false">INDEX(MoPriority,11)*1000+11</f>
        <v>3011</v>
      </c>
      <c r="AH22" s="2" t="str">
        <f aca="false">IF($AF22=0,"",SUMIFS(MoMin,$AF$12:$AF$54,1,$AG$12:$AG$54,"&lt;="&amp;$AG22))</f>
        <v/>
      </c>
      <c r="AI22" s="2" t="n">
        <f aca="false">IF(AND($AF22=1,$AH22&lt;=$B$7),1,0)</f>
        <v>0</v>
      </c>
      <c r="AJ22" s="2" t="n">
        <f aca="false">INDEX(MoTypeN,11)*1000+11</f>
        <v>2011</v>
      </c>
      <c r="AK22" s="2" t="str">
        <f aca="false">IF($AI22=0,"",COUNTIFS($AI$12:$AI$54,1,$AJ$12:$AJ$54,"&lt;"&amp;$AJ22)+1)</f>
        <v/>
      </c>
    </row>
    <row r="23" customFormat="false" ht="24" hidden="false" customHeight="true" outlineLevel="0" collapsed="false">
      <c r="A23" s="35" t="n">
        <v>12</v>
      </c>
      <c r="B23" s="36" t="str">
        <f aca="false">IFERROR(INDEX(WuName,MATCH(12,$AD$12:$AD$60,0)),"")</f>
        <v/>
      </c>
      <c r="C23" s="36" t="str">
        <f aca="false">IF($B23="","",INDEX(WuPhase,MATCH(12,$AD$12:$AD$60,0)))</f>
        <v/>
      </c>
      <c r="D23" s="36" t="str">
        <f aca="false">IF($B23="","",INDEX(WuTrigger,MATCH(12,$AD$12:$AD$60,0)))</f>
        <v/>
      </c>
      <c r="E23" s="35" t="str">
        <f aca="false">IF($B23="","",INDEX(WuMin,MATCH(12,$AD$12:$AD$60,0)))</f>
        <v/>
      </c>
      <c r="F23" s="37" t="str">
        <f aca="false">IF($B23="","",INDEX(WuHow,MATCH(12,$AD$12:$AD$60,0)))</f>
        <v/>
      </c>
      <c r="G23" s="37"/>
      <c r="H23" s="37"/>
      <c r="I23" s="37"/>
      <c r="J23" s="37"/>
      <c r="K23" s="37"/>
      <c r="L23" s="37"/>
      <c r="M23" s="37"/>
      <c r="N23" s="2"/>
      <c r="O23" s="2"/>
      <c r="P23" s="2"/>
      <c r="Q23" s="2"/>
      <c r="R23" s="2"/>
      <c r="S23" s="2"/>
      <c r="T23" s="2"/>
      <c r="U23" s="2"/>
      <c r="V23" s="2"/>
      <c r="W23" s="2"/>
      <c r="X23" s="2"/>
      <c r="Y23" s="2" t="n">
        <f aca="false">IF(OR(INDEX(WuTrigger,12)="Always",COUNTIF($D$30:$D$51,INDEX(WuTrigger,12))&gt;0,COUNTIF($E$30:$E$51,INDEX(WuTrigger,12))&gt;0),1,0)</f>
        <v>0</v>
      </c>
      <c r="Z23" s="2" t="n">
        <f aca="false">INDEX(WuPriority,12)*1000+12</f>
        <v>6012</v>
      </c>
      <c r="AA23" s="2" t="str">
        <f aca="false">IF($Y23=0,"",SUMIFS(WuMin,$Y$12:$Y$60,1,$Z$12:$Z$60,"&lt;="&amp;$Z23))</f>
        <v/>
      </c>
      <c r="AB23" s="2" t="n">
        <f aca="false">IF(AND($Y23=1,$AA23&lt;=$B$6),1,0)</f>
        <v>0</v>
      </c>
      <c r="AC23" s="2" t="n">
        <f aca="false">INDEX(WuPhaseN,12)*1000+12</f>
        <v>2012</v>
      </c>
      <c r="AD23" s="2" t="str">
        <f aca="false">IF($AB23=0,"",COUNTIFS($AB$12:$AB$60,1,$AC$12:$AC$60,"&lt;"&amp;$AC23)+1)</f>
        <v/>
      </c>
      <c r="AE23" s="2"/>
      <c r="AF23" s="2" t="n">
        <f aca="false">IF(OR(INDEX(MoTarget,12)="Always",COUNTIF($E$30:$E$51,INDEX(MoTarget,12))&gt;0,COUNTIF($F$30:$F$51,"*"&amp;INDEX(MoTarget,12)&amp;"*")&gt;0),1,0)</f>
        <v>0</v>
      </c>
      <c r="AG23" s="2" t="n">
        <f aca="false">INDEX(MoPriority,12)*1000+12</f>
        <v>2012</v>
      </c>
      <c r="AH23" s="2" t="str">
        <f aca="false">IF($AF23=0,"",SUMIFS(MoMin,$AF$12:$AF$54,1,$AG$12:$AG$54,"&lt;="&amp;$AG23))</f>
        <v/>
      </c>
      <c r="AI23" s="2" t="n">
        <f aca="false">IF(AND($AF23=1,$AH23&lt;=$B$7),1,0)</f>
        <v>0</v>
      </c>
      <c r="AJ23" s="2" t="n">
        <f aca="false">INDEX(MoTypeN,12)*1000+12</f>
        <v>2012</v>
      </c>
      <c r="AK23" s="2" t="str">
        <f aca="false">IF($AI23=0,"",COUNTIFS($AI$12:$AI$54,1,$AJ$12:$AJ$54,"&lt;"&amp;$AJ23)+1)</f>
        <v/>
      </c>
    </row>
    <row r="24" customFormat="false" ht="24" hidden="false" customHeight="true" outlineLevel="0" collapsed="false">
      <c r="A24" s="35" t="n">
        <v>13</v>
      </c>
      <c r="B24" s="36" t="str">
        <f aca="false">IFERROR(INDEX(WuName,MATCH(13,$AD$12:$AD$60,0)),"")</f>
        <v/>
      </c>
      <c r="C24" s="36" t="str">
        <f aca="false">IF($B24="","",INDEX(WuPhase,MATCH(13,$AD$12:$AD$60,0)))</f>
        <v/>
      </c>
      <c r="D24" s="36" t="str">
        <f aca="false">IF($B24="","",INDEX(WuTrigger,MATCH(13,$AD$12:$AD$60,0)))</f>
        <v/>
      </c>
      <c r="E24" s="35" t="str">
        <f aca="false">IF($B24="","",INDEX(WuMin,MATCH(13,$AD$12:$AD$60,0)))</f>
        <v/>
      </c>
      <c r="F24" s="37" t="str">
        <f aca="false">IF($B24="","",INDEX(WuHow,MATCH(13,$AD$12:$AD$60,0)))</f>
        <v/>
      </c>
      <c r="G24" s="37"/>
      <c r="H24" s="37"/>
      <c r="I24" s="37"/>
      <c r="J24" s="37"/>
      <c r="K24" s="37"/>
      <c r="L24" s="37"/>
      <c r="M24" s="37"/>
      <c r="N24" s="2"/>
      <c r="O24" s="2"/>
      <c r="P24" s="2"/>
      <c r="Q24" s="2"/>
      <c r="R24" s="2"/>
      <c r="S24" s="2"/>
      <c r="T24" s="2"/>
      <c r="U24" s="2"/>
      <c r="V24" s="2"/>
      <c r="W24" s="2"/>
      <c r="X24" s="2"/>
      <c r="Y24" s="2" t="n">
        <f aca="false">IF(OR(INDEX(WuTrigger,13)="Always",COUNTIF($D$30:$D$51,INDEX(WuTrigger,13))&gt;0,COUNTIF($E$30:$E$51,INDEX(WuTrigger,13))&gt;0),1,0)</f>
        <v>0</v>
      </c>
      <c r="Z24" s="2" t="n">
        <f aca="false">INDEX(WuPriority,13)*1000+13</f>
        <v>5013</v>
      </c>
      <c r="AA24" s="2" t="str">
        <f aca="false">IF($Y24=0,"",SUMIFS(WuMin,$Y$12:$Y$60,1,$Z$12:$Z$60,"&lt;="&amp;$Z24))</f>
        <v/>
      </c>
      <c r="AB24" s="2" t="n">
        <f aca="false">IF(AND($Y24=1,$AA24&lt;=$B$6),1,0)</f>
        <v>0</v>
      </c>
      <c r="AC24" s="2" t="n">
        <f aca="false">INDEX(WuPhaseN,13)*1000+13</f>
        <v>2013</v>
      </c>
      <c r="AD24" s="2" t="str">
        <f aca="false">IF($AB24=0,"",COUNTIFS($AB$12:$AB$60,1,$AC$12:$AC$60,"&lt;"&amp;$AC24)+1)</f>
        <v/>
      </c>
      <c r="AE24" s="2"/>
      <c r="AF24" s="2" t="n">
        <f aca="false">IF(OR(INDEX(MoTarget,13)="Always",COUNTIF($E$30:$E$51,INDEX(MoTarget,13))&gt;0,COUNTIF($F$30:$F$51,"*"&amp;INDEX(MoTarget,13)&amp;"*")&gt;0),1,0)</f>
        <v>0</v>
      </c>
      <c r="AG24" s="2" t="n">
        <f aca="false">INDEX(MoPriority,13)*1000+13</f>
        <v>3013</v>
      </c>
      <c r="AH24" s="2" t="str">
        <f aca="false">IF($AF24=0,"",SUMIFS(MoMin,$AF$12:$AF$54,1,$AG$12:$AG$54,"&lt;="&amp;$AG24))</f>
        <v/>
      </c>
      <c r="AI24" s="2" t="n">
        <f aca="false">IF(AND($AF24=1,$AH24&lt;=$B$7),1,0)</f>
        <v>0</v>
      </c>
      <c r="AJ24" s="2" t="n">
        <f aca="false">INDEX(MoTypeN,13)*1000+13</f>
        <v>2013</v>
      </c>
      <c r="AK24" s="2" t="str">
        <f aca="false">IF($AI24=0,"",COUNTIFS($AI$12:$AI$54,1,$AJ$12:$AJ$54,"&lt;"&amp;$AJ24)+1)</f>
        <v/>
      </c>
    </row>
    <row r="25" customFormat="false" ht="24" hidden="false" customHeight="true" outlineLevel="0" collapsed="false">
      <c r="A25" s="35" t="n">
        <v>14</v>
      </c>
      <c r="B25" s="36" t="str">
        <f aca="false">IFERROR(INDEX(WuName,MATCH(14,$AD$12:$AD$60,0)),"")</f>
        <v/>
      </c>
      <c r="C25" s="36" t="str">
        <f aca="false">IF($B25="","",INDEX(WuPhase,MATCH(14,$AD$12:$AD$60,0)))</f>
        <v/>
      </c>
      <c r="D25" s="36" t="str">
        <f aca="false">IF($B25="","",INDEX(WuTrigger,MATCH(14,$AD$12:$AD$60,0)))</f>
        <v/>
      </c>
      <c r="E25" s="35" t="str">
        <f aca="false">IF($B25="","",INDEX(WuMin,MATCH(14,$AD$12:$AD$60,0)))</f>
        <v/>
      </c>
      <c r="F25" s="37" t="str">
        <f aca="false">IF($B25="","",INDEX(WuHow,MATCH(14,$AD$12:$AD$60,0)))</f>
        <v/>
      </c>
      <c r="G25" s="37"/>
      <c r="H25" s="37"/>
      <c r="I25" s="37"/>
      <c r="J25" s="37"/>
      <c r="K25" s="37"/>
      <c r="L25" s="37"/>
      <c r="M25" s="37"/>
      <c r="N25" s="2"/>
      <c r="O25" s="2"/>
      <c r="P25" s="2"/>
      <c r="Q25" s="2"/>
      <c r="R25" s="2"/>
      <c r="S25" s="2"/>
      <c r="T25" s="2"/>
      <c r="U25" s="2"/>
      <c r="V25" s="2"/>
      <c r="W25" s="2"/>
      <c r="X25" s="2"/>
      <c r="Y25" s="2" t="n">
        <f aca="false">IF(OR(INDEX(WuTrigger,14)="Always",COUNTIF($D$30:$D$51,INDEX(WuTrigger,14))&gt;0,COUNTIF($E$30:$E$51,INDEX(WuTrigger,14))&gt;0),1,0)</f>
        <v>0</v>
      </c>
      <c r="Z25" s="2" t="n">
        <f aca="false">INDEX(WuPriority,14)*1000+14</f>
        <v>4014</v>
      </c>
      <c r="AA25" s="2" t="str">
        <f aca="false">IF($Y25=0,"",SUMIFS(WuMin,$Y$12:$Y$60,1,$Z$12:$Z$60,"&lt;="&amp;$Z25))</f>
        <v/>
      </c>
      <c r="AB25" s="2" t="n">
        <f aca="false">IF(AND($Y25=1,$AA25&lt;=$B$6),1,0)</f>
        <v>0</v>
      </c>
      <c r="AC25" s="2" t="n">
        <f aca="false">INDEX(WuPhaseN,14)*1000+14</f>
        <v>3014</v>
      </c>
      <c r="AD25" s="2" t="str">
        <f aca="false">IF($AB25=0,"",COUNTIFS($AB$12:$AB$60,1,$AC$12:$AC$60,"&lt;"&amp;$AC25)+1)</f>
        <v/>
      </c>
      <c r="AE25" s="2"/>
      <c r="AF25" s="2" t="n">
        <f aca="false">IF(OR(INDEX(MoTarget,14)="Always",COUNTIF($E$30:$E$51,INDEX(MoTarget,14))&gt;0,COUNTIF($F$30:$F$51,"*"&amp;INDEX(MoTarget,14)&amp;"*")&gt;0),1,0)</f>
        <v>0</v>
      </c>
      <c r="AG25" s="2" t="n">
        <f aca="false">INDEX(MoPriority,14)*1000+14</f>
        <v>4014</v>
      </c>
      <c r="AH25" s="2" t="str">
        <f aca="false">IF($AF25=0,"",SUMIFS(MoMin,$AF$12:$AF$54,1,$AG$12:$AG$54,"&lt;="&amp;$AG25))</f>
        <v/>
      </c>
      <c r="AI25" s="2" t="n">
        <f aca="false">IF(AND($AF25=1,$AH25&lt;=$B$7),1,0)</f>
        <v>0</v>
      </c>
      <c r="AJ25" s="2" t="n">
        <f aca="false">INDEX(MoTypeN,14)*1000+14</f>
        <v>2014</v>
      </c>
      <c r="AK25" s="2" t="str">
        <f aca="false">IF($AI25=0,"",COUNTIFS($AI$12:$AI$54,1,$AJ$12:$AJ$54,"&lt;"&amp;$AJ25)+1)</f>
        <v/>
      </c>
    </row>
    <row r="26" customFormat="false" ht="15" hidden="false" customHeight="false" outlineLevel="0" collapsed="false">
      <c r="A26" s="38" t="s">
        <v>1026</v>
      </c>
      <c r="B26" s="39"/>
      <c r="C26" s="39"/>
      <c r="D26" s="39"/>
      <c r="E26" s="40" t="n">
        <f aca="false">SUMIFS(WuMin,$AB$12:$AB$60,1)</f>
        <v>14</v>
      </c>
      <c r="F26" s="39"/>
      <c r="G26" s="39"/>
      <c r="H26" s="39"/>
      <c r="I26" s="39"/>
      <c r="J26" s="39"/>
      <c r="K26" s="39"/>
      <c r="L26" s="39"/>
      <c r="M26" s="39"/>
      <c r="N26" s="2"/>
      <c r="O26" s="2"/>
      <c r="P26" s="2"/>
      <c r="Q26" s="2"/>
      <c r="R26" s="2"/>
      <c r="S26" s="2"/>
      <c r="T26" s="2"/>
      <c r="U26" s="2"/>
      <c r="V26" s="2"/>
      <c r="W26" s="2"/>
      <c r="X26" s="2"/>
      <c r="Y26" s="2" t="n">
        <f aca="false">IF(OR(INDEX(WuTrigger,15)="Always",COUNTIF($D$30:$D$51,INDEX(WuTrigger,15))&gt;0,COUNTIF($E$30:$E$51,INDEX(WuTrigger,15))&gt;0),1,0)</f>
        <v>0</v>
      </c>
      <c r="Z26" s="2" t="n">
        <f aca="false">INDEX(WuPriority,15)*1000+15</f>
        <v>6015</v>
      </c>
      <c r="AA26" s="2" t="str">
        <f aca="false">IF($Y26=0,"",SUMIFS(WuMin,$Y$12:$Y$60,1,$Z$12:$Z$60,"&lt;="&amp;$Z26))</f>
        <v/>
      </c>
      <c r="AB26" s="2" t="n">
        <f aca="false">IF(AND($Y26=1,$AA26&lt;=$B$6),1,0)</f>
        <v>0</v>
      </c>
      <c r="AC26" s="2" t="n">
        <f aca="false">INDEX(WuPhaseN,15)*1000+15</f>
        <v>3015</v>
      </c>
      <c r="AD26" s="2" t="str">
        <f aca="false">IF($AB26=0,"",COUNTIFS($AB$12:$AB$60,1,$AC$12:$AC$60,"&lt;"&amp;$AC26)+1)</f>
        <v/>
      </c>
      <c r="AE26" s="2"/>
      <c r="AF26" s="2" t="n">
        <f aca="false">IF(OR(INDEX(MoTarget,15)="Always",COUNTIF($E$30:$E$51,INDEX(MoTarget,15))&gt;0,COUNTIF($F$30:$F$51,"*"&amp;INDEX(MoTarget,15)&amp;"*")&gt;0),1,0)</f>
        <v>0</v>
      </c>
      <c r="AG26" s="2" t="n">
        <f aca="false">INDEX(MoPriority,15)*1000+15</f>
        <v>2015</v>
      </c>
      <c r="AH26" s="2" t="str">
        <f aca="false">IF($AF26=0,"",SUMIFS(MoMin,$AF$12:$AF$54,1,$AG$12:$AG$54,"&lt;="&amp;$AG26))</f>
        <v/>
      </c>
      <c r="AI26" s="2" t="n">
        <f aca="false">IF(AND($AF26=1,$AH26&lt;=$B$7),1,0)</f>
        <v>0</v>
      </c>
      <c r="AJ26" s="2" t="n">
        <f aca="false">INDEX(MoTypeN,15)*1000+15</f>
        <v>2015</v>
      </c>
      <c r="AK26" s="2" t="str">
        <f aca="false">IF($AI26=0,"",COUNTIFS($AI$12:$AI$54,1,$AJ$12:$AJ$54,"&lt;"&amp;$AJ26)+1)</f>
        <v/>
      </c>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t="n">
        <f aca="false">IF(OR(INDEX(WuTrigger,16)="Always",COUNTIF($D$30:$D$51,INDEX(WuTrigger,16))&gt;0,COUNTIF($E$30:$E$51,INDEX(WuTrigger,16))&gt;0),1,0)</f>
        <v>0</v>
      </c>
      <c r="Z27" s="2" t="n">
        <f aca="false">INDEX(WuPriority,16)*1000+16</f>
        <v>3016</v>
      </c>
      <c r="AA27" s="2" t="str">
        <f aca="false">IF($Y27=0,"",SUMIFS(WuMin,$Y$12:$Y$60,1,$Z$12:$Z$60,"&lt;="&amp;$Z27))</f>
        <v/>
      </c>
      <c r="AB27" s="2" t="n">
        <f aca="false">IF(AND($Y27=1,$AA27&lt;=$B$6),1,0)</f>
        <v>0</v>
      </c>
      <c r="AC27" s="2" t="n">
        <f aca="false">INDEX(WuPhaseN,16)*1000+16</f>
        <v>3016</v>
      </c>
      <c r="AD27" s="2" t="str">
        <f aca="false">IF($AB27=0,"",COUNTIFS($AB$12:$AB$60,1,$AC$12:$AC$60,"&lt;"&amp;$AC27)+1)</f>
        <v/>
      </c>
      <c r="AE27" s="2"/>
      <c r="AF27" s="2" t="n">
        <f aca="false">IF(OR(INDEX(MoTarget,16)="Always",COUNTIF($E$30:$E$51,INDEX(MoTarget,16))&gt;0,COUNTIF($F$30:$F$51,"*"&amp;INDEX(MoTarget,16)&amp;"*")&gt;0),1,0)</f>
        <v>0</v>
      </c>
      <c r="AG27" s="2" t="n">
        <f aca="false">INDEX(MoPriority,16)*1000+16</f>
        <v>2016</v>
      </c>
      <c r="AH27" s="2" t="str">
        <f aca="false">IF($AF27=0,"",SUMIFS(MoMin,$AF$12:$AF$54,1,$AG$12:$AG$54,"&lt;="&amp;$AG27))</f>
        <v/>
      </c>
      <c r="AI27" s="2" t="n">
        <f aca="false">IF(AND($AF27=1,$AH27&lt;=$B$7),1,0)</f>
        <v>0</v>
      </c>
      <c r="AJ27" s="2" t="n">
        <f aca="false">INDEX(MoTypeN,16)*1000+16</f>
        <v>2016</v>
      </c>
      <c r="AK27" s="2" t="str">
        <f aca="false">IF($AI27=0,"",COUNTIFS($AI$12:$AI$54,1,$AJ$12:$AJ$54,"&lt;"&amp;$AJ27)+1)</f>
        <v/>
      </c>
    </row>
    <row r="28" customFormat="false" ht="19.5" hidden="false" customHeight="true" outlineLevel="0" collapsed="false">
      <c r="A28" s="33" t="s">
        <v>1027</v>
      </c>
      <c r="B28" s="33"/>
      <c r="C28" s="33"/>
      <c r="D28" s="33"/>
      <c r="E28" s="33"/>
      <c r="F28" s="33"/>
      <c r="G28" s="33"/>
      <c r="H28" s="33"/>
      <c r="I28" s="33"/>
      <c r="J28" s="33"/>
      <c r="K28" s="33"/>
      <c r="L28" s="33"/>
      <c r="M28" s="33"/>
      <c r="N28" s="33"/>
      <c r="O28" s="33"/>
      <c r="P28" s="33"/>
      <c r="Q28" s="2"/>
      <c r="R28" s="2"/>
      <c r="S28" s="2"/>
      <c r="T28" s="2"/>
      <c r="U28" s="2"/>
      <c r="V28" s="2"/>
      <c r="W28" s="2"/>
      <c r="X28" s="2"/>
      <c r="Y28" s="2" t="n">
        <f aca="false">IF(OR(INDEX(WuTrigger,17)="Always",COUNTIF($D$30:$D$51,INDEX(WuTrigger,17))&gt;0,COUNTIF($E$30:$E$51,INDEX(WuTrigger,17))&gt;0),1,0)</f>
        <v>0</v>
      </c>
      <c r="Z28" s="2" t="n">
        <f aca="false">INDEX(WuPriority,17)*1000+17</f>
        <v>3017</v>
      </c>
      <c r="AA28" s="2" t="str">
        <f aca="false">IF($Y28=0,"",SUMIFS(WuMin,$Y$12:$Y$60,1,$Z$12:$Z$60,"&lt;="&amp;$Z28))</f>
        <v/>
      </c>
      <c r="AB28" s="2" t="n">
        <f aca="false">IF(AND($Y28=1,$AA28&lt;=$B$6),1,0)</f>
        <v>0</v>
      </c>
      <c r="AC28" s="2" t="n">
        <f aca="false">INDEX(WuPhaseN,17)*1000+17</f>
        <v>3017</v>
      </c>
      <c r="AD28" s="2" t="str">
        <f aca="false">IF($AB28=0,"",COUNTIFS($AB$12:$AB$60,1,$AC$12:$AC$60,"&lt;"&amp;$AC28)+1)</f>
        <v/>
      </c>
      <c r="AE28" s="2"/>
      <c r="AF28" s="2" t="n">
        <f aca="false">IF(OR(INDEX(MoTarget,17)="Always",COUNTIF($E$30:$E$51,INDEX(MoTarget,17))&gt;0,COUNTIF($F$30:$F$51,"*"&amp;INDEX(MoTarget,17)&amp;"*")&gt;0),1,0)</f>
        <v>0</v>
      </c>
      <c r="AG28" s="2" t="n">
        <f aca="false">INDEX(MoPriority,17)*1000+17</f>
        <v>4017</v>
      </c>
      <c r="AH28" s="2" t="str">
        <f aca="false">IF($AF28=0,"",SUMIFS(MoMin,$AF$12:$AF$54,1,$AG$12:$AG$54,"&lt;="&amp;$AG28))</f>
        <v/>
      </c>
      <c r="AI28" s="2" t="n">
        <f aca="false">IF(AND($AF28=1,$AH28&lt;=$B$7),1,0)</f>
        <v>0</v>
      </c>
      <c r="AJ28" s="2" t="n">
        <f aca="false">INDEX(MoTypeN,17)*1000+17</f>
        <v>2017</v>
      </c>
      <c r="AK28" s="2" t="str">
        <f aca="false">IF($AI28=0,"",COUNTIFS($AI$12:$AI$54,1,$AJ$12:$AJ$54,"&lt;"&amp;$AJ28)+1)</f>
        <v/>
      </c>
    </row>
    <row r="29" customFormat="false" ht="31.5" hidden="false" customHeight="true" outlineLevel="0" collapsed="false">
      <c r="A29" s="9" t="s">
        <v>1023</v>
      </c>
      <c r="B29" s="9" t="s">
        <v>52</v>
      </c>
      <c r="C29" s="9" t="s">
        <v>54</v>
      </c>
      <c r="D29" s="9" t="s">
        <v>1028</v>
      </c>
      <c r="E29" s="9" t="s">
        <v>1029</v>
      </c>
      <c r="F29" s="9" t="s">
        <v>1030</v>
      </c>
      <c r="G29" s="9" t="s">
        <v>1031</v>
      </c>
      <c r="H29" s="9" t="s">
        <v>927</v>
      </c>
      <c r="I29" s="9" t="s">
        <v>928</v>
      </c>
      <c r="J29" s="9" t="s">
        <v>929</v>
      </c>
      <c r="K29" s="9" t="s">
        <v>1032</v>
      </c>
      <c r="L29" s="9" t="s">
        <v>932</v>
      </c>
      <c r="M29" s="9" t="s">
        <v>933</v>
      </c>
      <c r="N29" s="9" t="s">
        <v>1033</v>
      </c>
      <c r="O29" s="9" t="s">
        <v>1034</v>
      </c>
      <c r="P29" s="9" t="s">
        <v>1035</v>
      </c>
      <c r="Q29" s="2"/>
      <c r="R29" s="2"/>
      <c r="S29" s="2"/>
      <c r="T29" s="2"/>
      <c r="U29" s="2"/>
      <c r="V29" s="2"/>
      <c r="W29" s="2"/>
      <c r="X29" s="2"/>
      <c r="Y29" s="2" t="n">
        <f aca="false">IF(OR(INDEX(WuTrigger,18)="Always",COUNTIF($D$30:$D$51,INDEX(WuTrigger,18))&gt;0,COUNTIF($E$30:$E$51,INDEX(WuTrigger,18))&gt;0),1,0)</f>
        <v>0</v>
      </c>
      <c r="Z29" s="2" t="n">
        <f aca="false">INDEX(WuPriority,18)*1000+18</f>
        <v>6018</v>
      </c>
      <c r="AA29" s="2" t="str">
        <f aca="false">IF($Y29=0,"",SUMIFS(WuMin,$Y$12:$Y$60,1,$Z$12:$Z$60,"&lt;="&amp;$Z29))</f>
        <v/>
      </c>
      <c r="AB29" s="2" t="n">
        <f aca="false">IF(AND($Y29=1,$AA29&lt;=$B$6),1,0)</f>
        <v>0</v>
      </c>
      <c r="AC29" s="2" t="n">
        <f aca="false">INDEX(WuPhaseN,18)*1000+18</f>
        <v>2018</v>
      </c>
      <c r="AD29" s="2" t="str">
        <f aca="false">IF($AB29=0,"",COUNTIFS($AB$12:$AB$60,1,$AC$12:$AC$60,"&lt;"&amp;$AC29)+1)</f>
        <v/>
      </c>
      <c r="AE29" s="2"/>
      <c r="AF29" s="2" t="n">
        <f aca="false">IF(OR(INDEX(MoTarget,18)="Always",COUNTIF($E$30:$E$51,INDEX(MoTarget,18))&gt;0,COUNTIF($F$30:$F$51,"*"&amp;INDEX(MoTarget,18)&amp;"*")&gt;0),1,0)</f>
        <v>0</v>
      </c>
      <c r="AG29" s="2" t="n">
        <f aca="false">INDEX(MoPriority,18)*1000+18</f>
        <v>2018</v>
      </c>
      <c r="AH29" s="2" t="str">
        <f aca="false">IF($AF29=0,"",SUMIFS(MoMin,$AF$12:$AF$54,1,$AG$12:$AG$54,"&lt;="&amp;$AG29))</f>
        <v/>
      </c>
      <c r="AI29" s="2" t="n">
        <f aca="false">IF(AND($AF29=1,$AH29&lt;=$B$7),1,0)</f>
        <v>0</v>
      </c>
      <c r="AJ29" s="2" t="n">
        <f aca="false">INDEX(MoTypeN,18)*1000+18</f>
        <v>2018</v>
      </c>
      <c r="AK29" s="2" t="str">
        <f aca="false">IF($AI29=0,"",COUNTIFS($AI$12:$AI$54,1,$AJ$12:$AJ$54,"&lt;"&amp;$AJ29)+1)</f>
        <v/>
      </c>
    </row>
    <row r="30" customFormat="false" ht="30" hidden="false" customHeight="true" outlineLevel="0" collapsed="false">
      <c r="A30" s="19" t="n">
        <v>1</v>
      </c>
      <c r="B30" s="41"/>
      <c r="C30" s="42" t="str">
        <f aca="false">IF($B30="","",IFERROR(INDEX(ExEquip,MATCH($B30,ExName,0)),"?"))</f>
        <v/>
      </c>
      <c r="D30" s="42" t="str">
        <f aca="false">IF($B30="","",IFERROR(INDEX(ExPattern,MATCH($B30,ExName,0)),"?"))</f>
        <v/>
      </c>
      <c r="E30" s="42" t="str">
        <f aca="false">IF($B30="","",IFERROR(INDEX(ExPrimary,MATCH($B30,ExName,0)),"?"))</f>
        <v/>
      </c>
      <c r="F30" s="43" t="str">
        <f aca="false">IF($B30="","",IFERROR(INDEX(ExSecondary,MATCH($B30,ExName,0)),""))</f>
        <v/>
      </c>
      <c r="G30" s="42" t="str">
        <f aca="false">IF($B30="","",IFERROR(INDEX(ExProfile,MATCH($B30,ExName,0)),"?"))</f>
        <v/>
      </c>
      <c r="H30" s="35" t="str">
        <f aca="false">IF($G30="","",IFERROR(INDEX(PrSets,MATCH($G30&amp;"|"&amp;$B$5,PrKey,0)),"?"))</f>
        <v/>
      </c>
      <c r="I30" s="35" t="str">
        <f aca="false">IF($G30="","",IFERROR(INDEX(PrReps,MATCH($G30&amp;"|"&amp;$B$5,PrKey,0)),"?"))</f>
        <v/>
      </c>
      <c r="J30" s="35" t="str">
        <f aca="false">IF($G30="","",IFERROR(INDEX(PrLoad,MATCH($G30&amp;"|"&amp;$B$5,PrKey,0)),"?"))</f>
        <v/>
      </c>
      <c r="K30" s="35" t="str">
        <f aca="false">IF($B30="","",IF(N($S30)=0,"Bodyweight / RPE",IF(N($R30)=0,"Enter 1RM in library",TEXT(MROUND($R30*$S30,2.5),"0.0")&amp;"–"&amp;TEXT(MROUND($R30*$T30,2.5),"0.0")&amp;" kg")))</f>
        <v/>
      </c>
      <c r="L30" s="35" t="str">
        <f aca="false">IF($G30="","",IFERROR(INDEX(PrRest,MATCH($G30&amp;"|"&amp;$B$5,PrKey,0)),"?"))</f>
        <v/>
      </c>
      <c r="M30" s="43" t="str">
        <f aca="false">IF($G30="","",IFERROR(INDEX(PrNote,MATCH($G30&amp;"|"&amp;$B$5,PrKey,0)),""))</f>
        <v/>
      </c>
      <c r="N30" s="44"/>
      <c r="O30" s="45"/>
      <c r="P30" s="35" t="str">
        <f aca="false">IF(OR($B30="",$U30=""),"",IF($U30=0,0,ROUND(($U30*($V30+$W30)+TimeSetup)/60,0)))</f>
        <v/>
      </c>
      <c r="Q30" s="2"/>
      <c r="R30" s="2" t="str">
        <f aca="false">IF($B30="","",IFERROR(INDEX(Ex1RM,MATCH($B30,ExName,0)),""))</f>
        <v/>
      </c>
      <c r="S30" s="2" t="str">
        <f aca="false">IF($G30="","",IFERROR(INDEX(PrMin,MATCH($G30&amp;"|"&amp;$B$5,PrKey,0)),""))</f>
        <v/>
      </c>
      <c r="T30" s="2" t="str">
        <f aca="false">IF($G30="","",IFERROR(INDEX(PrMax,MATCH($G30&amp;"|"&amp;$B$5,PrKey,0)),""))</f>
        <v/>
      </c>
      <c r="U30" s="2" t="str">
        <f aca="false">IF($G30="","",IFERROR(INDEX(PrSetsN,MATCH($G30&amp;"|"&amp;$B$5,PrKey,0)),""))</f>
        <v/>
      </c>
      <c r="V30" s="2" t="str">
        <f aca="false">IF($G30="","",IFERROR(INDEX(PrWorkS,MATCH($G30&amp;"|"&amp;$B$5,PrKey,0)),""))</f>
        <v/>
      </c>
      <c r="W30" s="2" t="str">
        <f aca="false">IF($G30="","",IFERROR(INDEX(PrRestS,MATCH($G30&amp;"|"&amp;$B$5,PrKey,0)),""))</f>
        <v/>
      </c>
      <c r="X30" s="2"/>
      <c r="Y30" s="2" t="n">
        <f aca="false">IF(OR(INDEX(WuTrigger,19)="Always",COUNTIF($D$30:$D$51,INDEX(WuTrigger,19))&gt;0,COUNTIF($E$30:$E$51,INDEX(WuTrigger,19))&gt;0),1,0)</f>
        <v>0</v>
      </c>
      <c r="Z30" s="2" t="n">
        <f aca="false">INDEX(WuPriority,19)*1000+19</f>
        <v>4019</v>
      </c>
      <c r="AA30" s="2" t="str">
        <f aca="false">IF($Y30=0,"",SUMIFS(WuMin,$Y$12:$Y$60,1,$Z$12:$Z$60,"&lt;="&amp;$Z30))</f>
        <v/>
      </c>
      <c r="AB30" s="2" t="n">
        <f aca="false">IF(AND($Y30=1,$AA30&lt;=$B$6),1,0)</f>
        <v>0</v>
      </c>
      <c r="AC30" s="2" t="n">
        <f aca="false">INDEX(WuPhaseN,19)*1000+19</f>
        <v>3019</v>
      </c>
      <c r="AD30" s="2" t="str">
        <f aca="false">IF($AB30=0,"",COUNTIFS($AB$12:$AB$60,1,$AC$12:$AC$60,"&lt;"&amp;$AC30)+1)</f>
        <v/>
      </c>
      <c r="AE30" s="2"/>
      <c r="AF30" s="2" t="n">
        <f aca="false">IF(OR(INDEX(MoTarget,19)="Always",COUNTIF($E$30:$E$51,INDEX(MoTarget,19))&gt;0,COUNTIF($F$30:$F$51,"*"&amp;INDEX(MoTarget,19)&amp;"*")&gt;0),1,0)</f>
        <v>0</v>
      </c>
      <c r="AG30" s="2" t="n">
        <f aca="false">INDEX(MoPriority,19)*1000+19</f>
        <v>3019</v>
      </c>
      <c r="AH30" s="2" t="str">
        <f aca="false">IF($AF30=0,"",SUMIFS(MoMin,$AF$12:$AF$54,1,$AG$12:$AG$54,"&lt;="&amp;$AG30))</f>
        <v/>
      </c>
      <c r="AI30" s="2" t="n">
        <f aca="false">IF(AND($AF30=1,$AH30&lt;=$B$7),1,0)</f>
        <v>0</v>
      </c>
      <c r="AJ30" s="2" t="n">
        <f aca="false">INDEX(MoTypeN,19)*1000+19</f>
        <v>2019</v>
      </c>
      <c r="AK30" s="2" t="str">
        <f aca="false">IF($AI30=0,"",COUNTIFS($AI$12:$AI$54,1,$AJ$12:$AJ$54,"&lt;"&amp;$AJ30)+1)</f>
        <v/>
      </c>
    </row>
    <row r="31" customFormat="false" ht="30" hidden="false" customHeight="true" outlineLevel="0" collapsed="false">
      <c r="A31" s="19" t="n">
        <v>2</v>
      </c>
      <c r="B31" s="41"/>
      <c r="C31" s="42" t="str">
        <f aca="false">IF($B31="","",IFERROR(INDEX(ExEquip,MATCH($B31,ExName,0)),"?"))</f>
        <v/>
      </c>
      <c r="D31" s="42" t="str">
        <f aca="false">IF($B31="","",IFERROR(INDEX(ExPattern,MATCH($B31,ExName,0)),"?"))</f>
        <v/>
      </c>
      <c r="E31" s="42" t="str">
        <f aca="false">IF($B31="","",IFERROR(INDEX(ExPrimary,MATCH($B31,ExName,0)),"?"))</f>
        <v/>
      </c>
      <c r="F31" s="43" t="str">
        <f aca="false">IF($B31="","",IFERROR(INDEX(ExSecondary,MATCH($B31,ExName,0)),""))</f>
        <v/>
      </c>
      <c r="G31" s="42" t="str">
        <f aca="false">IF($B31="","",IFERROR(INDEX(ExProfile,MATCH($B31,ExName,0)),"?"))</f>
        <v/>
      </c>
      <c r="H31" s="35" t="str">
        <f aca="false">IF($G31="","",IFERROR(INDEX(PrSets,MATCH($G31&amp;"|"&amp;$B$5,PrKey,0)),"?"))</f>
        <v/>
      </c>
      <c r="I31" s="35" t="str">
        <f aca="false">IF($G31="","",IFERROR(INDEX(PrReps,MATCH($G31&amp;"|"&amp;$B$5,PrKey,0)),"?"))</f>
        <v/>
      </c>
      <c r="J31" s="35" t="str">
        <f aca="false">IF($G31="","",IFERROR(INDEX(PrLoad,MATCH($G31&amp;"|"&amp;$B$5,PrKey,0)),"?"))</f>
        <v/>
      </c>
      <c r="K31" s="35" t="str">
        <f aca="false">IF($B31="","",IF(N($S31)=0,"Bodyweight / RPE",IF(N($R31)=0,"Enter 1RM in library",TEXT(MROUND($R31*$S31,2.5),"0.0")&amp;"–"&amp;TEXT(MROUND($R31*$T31,2.5),"0.0")&amp;" kg")))</f>
        <v/>
      </c>
      <c r="L31" s="35" t="str">
        <f aca="false">IF($G31="","",IFERROR(INDEX(PrRest,MATCH($G31&amp;"|"&amp;$B$5,PrKey,0)),"?"))</f>
        <v/>
      </c>
      <c r="M31" s="43" t="str">
        <f aca="false">IF($G31="","",IFERROR(INDEX(PrNote,MATCH($G31&amp;"|"&amp;$B$5,PrKey,0)),""))</f>
        <v/>
      </c>
      <c r="N31" s="44"/>
      <c r="O31" s="45"/>
      <c r="P31" s="35" t="str">
        <f aca="false">IF(OR($B31="",$U31=""),"",IF($U31=0,0,ROUND(($U31*($V31+$W31)+TimeSetup)/60,0)))</f>
        <v/>
      </c>
      <c r="Q31" s="2"/>
      <c r="R31" s="2" t="str">
        <f aca="false">IF($B31="","",IFERROR(INDEX(Ex1RM,MATCH($B31,ExName,0)),""))</f>
        <v/>
      </c>
      <c r="S31" s="2" t="str">
        <f aca="false">IF($G31="","",IFERROR(INDEX(PrMin,MATCH($G31&amp;"|"&amp;$B$5,PrKey,0)),""))</f>
        <v/>
      </c>
      <c r="T31" s="2" t="str">
        <f aca="false">IF($G31="","",IFERROR(INDEX(PrMax,MATCH($G31&amp;"|"&amp;$B$5,PrKey,0)),""))</f>
        <v/>
      </c>
      <c r="U31" s="2" t="str">
        <f aca="false">IF($G31="","",IFERROR(INDEX(PrSetsN,MATCH($G31&amp;"|"&amp;$B$5,PrKey,0)),""))</f>
        <v/>
      </c>
      <c r="V31" s="2" t="str">
        <f aca="false">IF($G31="","",IFERROR(INDEX(PrWorkS,MATCH($G31&amp;"|"&amp;$B$5,PrKey,0)),""))</f>
        <v/>
      </c>
      <c r="W31" s="2" t="str">
        <f aca="false">IF($G31="","",IFERROR(INDEX(PrRestS,MATCH($G31&amp;"|"&amp;$B$5,PrKey,0)),""))</f>
        <v/>
      </c>
      <c r="X31" s="2"/>
      <c r="Y31" s="2" t="n">
        <f aca="false">IF(OR(INDEX(WuTrigger,20)="Always",COUNTIF($D$30:$D$51,INDEX(WuTrigger,20))&gt;0,COUNTIF($E$30:$E$51,INDEX(WuTrigger,20))&gt;0),1,0)</f>
        <v>0</v>
      </c>
      <c r="Z31" s="2" t="n">
        <f aca="false">INDEX(WuPriority,20)*1000+20</f>
        <v>5020</v>
      </c>
      <c r="AA31" s="2" t="str">
        <f aca="false">IF($Y31=0,"",SUMIFS(WuMin,$Y$12:$Y$60,1,$Z$12:$Z$60,"&lt;="&amp;$Z31))</f>
        <v/>
      </c>
      <c r="AB31" s="2" t="n">
        <f aca="false">IF(AND($Y31=1,$AA31&lt;=$B$6),1,0)</f>
        <v>0</v>
      </c>
      <c r="AC31" s="2" t="n">
        <f aca="false">INDEX(WuPhaseN,20)*1000+20</f>
        <v>2020</v>
      </c>
      <c r="AD31" s="2" t="str">
        <f aca="false">IF($AB31=0,"",COUNTIFS($AB$12:$AB$60,1,$AC$12:$AC$60,"&lt;"&amp;$AC31)+1)</f>
        <v/>
      </c>
      <c r="AE31" s="2"/>
      <c r="AF31" s="2" t="n">
        <f aca="false">IF(OR(INDEX(MoTarget,20)="Always",COUNTIF($E$30:$E$51,INDEX(MoTarget,20))&gt;0,COUNTIF($F$30:$F$51,"*"&amp;INDEX(MoTarget,20)&amp;"*")&gt;0),1,0)</f>
        <v>0</v>
      </c>
      <c r="AG31" s="2" t="n">
        <f aca="false">INDEX(MoPriority,20)*1000+20</f>
        <v>4020</v>
      </c>
      <c r="AH31" s="2" t="str">
        <f aca="false">IF($AF31=0,"",SUMIFS(MoMin,$AF$12:$AF$54,1,$AG$12:$AG$54,"&lt;="&amp;$AG31))</f>
        <v/>
      </c>
      <c r="AI31" s="2" t="n">
        <f aca="false">IF(AND($AF31=1,$AH31&lt;=$B$7),1,0)</f>
        <v>0</v>
      </c>
      <c r="AJ31" s="2" t="n">
        <f aca="false">INDEX(MoTypeN,20)*1000+20</f>
        <v>2020</v>
      </c>
      <c r="AK31" s="2" t="str">
        <f aca="false">IF($AI31=0,"",COUNTIFS($AI$12:$AI$54,1,$AJ$12:$AJ$54,"&lt;"&amp;$AJ31)+1)</f>
        <v/>
      </c>
    </row>
    <row r="32" customFormat="false" ht="30" hidden="false" customHeight="true" outlineLevel="0" collapsed="false">
      <c r="A32" s="19" t="n">
        <v>3</v>
      </c>
      <c r="B32" s="41"/>
      <c r="C32" s="42" t="str">
        <f aca="false">IF($B32="","",IFERROR(INDEX(ExEquip,MATCH($B32,ExName,0)),"?"))</f>
        <v/>
      </c>
      <c r="D32" s="42" t="str">
        <f aca="false">IF($B32="","",IFERROR(INDEX(ExPattern,MATCH($B32,ExName,0)),"?"))</f>
        <v/>
      </c>
      <c r="E32" s="42" t="str">
        <f aca="false">IF($B32="","",IFERROR(INDEX(ExPrimary,MATCH($B32,ExName,0)),"?"))</f>
        <v/>
      </c>
      <c r="F32" s="43" t="str">
        <f aca="false">IF($B32="","",IFERROR(INDEX(ExSecondary,MATCH($B32,ExName,0)),""))</f>
        <v/>
      </c>
      <c r="G32" s="42" t="str">
        <f aca="false">IF($B32="","",IFERROR(INDEX(ExProfile,MATCH($B32,ExName,0)),"?"))</f>
        <v/>
      </c>
      <c r="H32" s="35" t="str">
        <f aca="false">IF($G32="","",IFERROR(INDEX(PrSets,MATCH($G32&amp;"|"&amp;$B$5,PrKey,0)),"?"))</f>
        <v/>
      </c>
      <c r="I32" s="35" t="str">
        <f aca="false">IF($G32="","",IFERROR(INDEX(PrReps,MATCH($G32&amp;"|"&amp;$B$5,PrKey,0)),"?"))</f>
        <v/>
      </c>
      <c r="J32" s="35" t="str">
        <f aca="false">IF($G32="","",IFERROR(INDEX(PrLoad,MATCH($G32&amp;"|"&amp;$B$5,PrKey,0)),"?"))</f>
        <v/>
      </c>
      <c r="K32" s="35" t="str">
        <f aca="false">IF($B32="","",IF(N($S32)=0,"Bodyweight / RPE",IF(N($R32)=0,"Enter 1RM in library",TEXT(MROUND($R32*$S32,2.5),"0.0")&amp;"–"&amp;TEXT(MROUND($R32*$T32,2.5),"0.0")&amp;" kg")))</f>
        <v/>
      </c>
      <c r="L32" s="35" t="str">
        <f aca="false">IF($G32="","",IFERROR(INDEX(PrRest,MATCH($G32&amp;"|"&amp;$B$5,PrKey,0)),"?"))</f>
        <v/>
      </c>
      <c r="M32" s="43" t="str">
        <f aca="false">IF($G32="","",IFERROR(INDEX(PrNote,MATCH($G32&amp;"|"&amp;$B$5,PrKey,0)),""))</f>
        <v/>
      </c>
      <c r="N32" s="44"/>
      <c r="O32" s="45"/>
      <c r="P32" s="35" t="str">
        <f aca="false">IF(OR($B32="",$U32=""),"",IF($U32=0,0,ROUND(($U32*($V32+$W32)+TimeSetup)/60,0)))</f>
        <v/>
      </c>
      <c r="Q32" s="2"/>
      <c r="R32" s="2" t="str">
        <f aca="false">IF($B32="","",IFERROR(INDEX(Ex1RM,MATCH($B32,ExName,0)),""))</f>
        <v/>
      </c>
      <c r="S32" s="2" t="str">
        <f aca="false">IF($G32="","",IFERROR(INDEX(PrMin,MATCH($G32&amp;"|"&amp;$B$5,PrKey,0)),""))</f>
        <v/>
      </c>
      <c r="T32" s="2" t="str">
        <f aca="false">IF($G32="","",IFERROR(INDEX(PrMax,MATCH($G32&amp;"|"&amp;$B$5,PrKey,0)),""))</f>
        <v/>
      </c>
      <c r="U32" s="2" t="str">
        <f aca="false">IF($G32="","",IFERROR(INDEX(PrSetsN,MATCH($G32&amp;"|"&amp;$B$5,PrKey,0)),""))</f>
        <v/>
      </c>
      <c r="V32" s="2" t="str">
        <f aca="false">IF($G32="","",IFERROR(INDEX(PrWorkS,MATCH($G32&amp;"|"&amp;$B$5,PrKey,0)),""))</f>
        <v/>
      </c>
      <c r="W32" s="2" t="str">
        <f aca="false">IF($G32="","",IFERROR(INDEX(PrRestS,MATCH($G32&amp;"|"&amp;$B$5,PrKey,0)),""))</f>
        <v/>
      </c>
      <c r="X32" s="2"/>
      <c r="Y32" s="2" t="n">
        <f aca="false">IF(OR(INDEX(WuTrigger,21)="Always",COUNTIF($D$30:$D$51,INDEX(WuTrigger,21))&gt;0,COUNTIF($E$30:$E$51,INDEX(WuTrigger,21))&gt;0),1,0)</f>
        <v>0</v>
      </c>
      <c r="Z32" s="2" t="n">
        <f aca="false">INDEX(WuPriority,21)*1000+21</f>
        <v>3021</v>
      </c>
      <c r="AA32" s="2" t="str">
        <f aca="false">IF($Y32=0,"",SUMIFS(WuMin,$Y$12:$Y$60,1,$Z$12:$Z$60,"&lt;="&amp;$Z32))</f>
        <v/>
      </c>
      <c r="AB32" s="2" t="n">
        <f aca="false">IF(AND($Y32=1,$AA32&lt;=$B$6),1,0)</f>
        <v>0</v>
      </c>
      <c r="AC32" s="2" t="n">
        <f aca="false">INDEX(WuPhaseN,21)*1000+21</f>
        <v>3021</v>
      </c>
      <c r="AD32" s="2" t="str">
        <f aca="false">IF($AB32=0,"",COUNTIFS($AB$12:$AB$60,1,$AC$12:$AC$60,"&lt;"&amp;$AC32)+1)</f>
        <v/>
      </c>
      <c r="AE32" s="2"/>
      <c r="AF32" s="2" t="n">
        <f aca="false">IF(OR(INDEX(MoTarget,21)="Always",COUNTIF($E$30:$E$51,INDEX(MoTarget,21))&gt;0,COUNTIF($F$30:$F$51,"*"&amp;INDEX(MoTarget,21)&amp;"*")&gt;0),1,0)</f>
        <v>0</v>
      </c>
      <c r="AG32" s="2" t="n">
        <f aca="false">INDEX(MoPriority,21)*1000+21</f>
        <v>2021</v>
      </c>
      <c r="AH32" s="2" t="str">
        <f aca="false">IF($AF32=0,"",SUMIFS(MoMin,$AF$12:$AF$54,1,$AG$12:$AG$54,"&lt;="&amp;$AG32))</f>
        <v/>
      </c>
      <c r="AI32" s="2" t="n">
        <f aca="false">IF(AND($AF32=1,$AH32&lt;=$B$7),1,0)</f>
        <v>0</v>
      </c>
      <c r="AJ32" s="2" t="n">
        <f aca="false">INDEX(MoTypeN,21)*1000+21</f>
        <v>2021</v>
      </c>
      <c r="AK32" s="2" t="str">
        <f aca="false">IF($AI32=0,"",COUNTIFS($AI$12:$AI$54,1,$AJ$12:$AJ$54,"&lt;"&amp;$AJ32)+1)</f>
        <v/>
      </c>
    </row>
    <row r="33" customFormat="false" ht="30" hidden="false" customHeight="true" outlineLevel="0" collapsed="false">
      <c r="A33" s="19" t="n">
        <v>4</v>
      </c>
      <c r="B33" s="41"/>
      <c r="C33" s="42" t="str">
        <f aca="false">IF($B33="","",IFERROR(INDEX(ExEquip,MATCH($B33,ExName,0)),"?"))</f>
        <v/>
      </c>
      <c r="D33" s="42" t="str">
        <f aca="false">IF($B33="","",IFERROR(INDEX(ExPattern,MATCH($B33,ExName,0)),"?"))</f>
        <v/>
      </c>
      <c r="E33" s="42" t="str">
        <f aca="false">IF($B33="","",IFERROR(INDEX(ExPrimary,MATCH($B33,ExName,0)),"?"))</f>
        <v/>
      </c>
      <c r="F33" s="43" t="str">
        <f aca="false">IF($B33="","",IFERROR(INDEX(ExSecondary,MATCH($B33,ExName,0)),""))</f>
        <v/>
      </c>
      <c r="G33" s="42" t="str">
        <f aca="false">IF($B33="","",IFERROR(INDEX(ExProfile,MATCH($B33,ExName,0)),"?"))</f>
        <v/>
      </c>
      <c r="H33" s="35" t="str">
        <f aca="false">IF($G33="","",IFERROR(INDEX(PrSets,MATCH($G33&amp;"|"&amp;$B$5,PrKey,0)),"?"))</f>
        <v/>
      </c>
      <c r="I33" s="35" t="str">
        <f aca="false">IF($G33="","",IFERROR(INDEX(PrReps,MATCH($G33&amp;"|"&amp;$B$5,PrKey,0)),"?"))</f>
        <v/>
      </c>
      <c r="J33" s="35" t="str">
        <f aca="false">IF($G33="","",IFERROR(INDEX(PrLoad,MATCH($G33&amp;"|"&amp;$B$5,PrKey,0)),"?"))</f>
        <v/>
      </c>
      <c r="K33" s="35" t="str">
        <f aca="false">IF($B33="","",IF(N($S33)=0,"Bodyweight / RPE",IF(N($R33)=0,"Enter 1RM in library",TEXT(MROUND($R33*$S33,2.5),"0.0")&amp;"–"&amp;TEXT(MROUND($R33*$T33,2.5),"0.0")&amp;" kg")))</f>
        <v/>
      </c>
      <c r="L33" s="35" t="str">
        <f aca="false">IF($G33="","",IFERROR(INDEX(PrRest,MATCH($G33&amp;"|"&amp;$B$5,PrKey,0)),"?"))</f>
        <v/>
      </c>
      <c r="M33" s="43" t="str">
        <f aca="false">IF($G33="","",IFERROR(INDEX(PrNote,MATCH($G33&amp;"|"&amp;$B$5,PrKey,0)),""))</f>
        <v/>
      </c>
      <c r="N33" s="44"/>
      <c r="O33" s="45"/>
      <c r="P33" s="35" t="str">
        <f aca="false">IF(OR($B33="",$U33=""),"",IF($U33=0,0,ROUND(($U33*($V33+$W33)+TimeSetup)/60,0)))</f>
        <v/>
      </c>
      <c r="Q33" s="2"/>
      <c r="R33" s="2" t="str">
        <f aca="false">IF($B33="","",IFERROR(INDEX(Ex1RM,MATCH($B33,ExName,0)),""))</f>
        <v/>
      </c>
      <c r="S33" s="2" t="str">
        <f aca="false">IF($G33="","",IFERROR(INDEX(PrMin,MATCH($G33&amp;"|"&amp;$B$5,PrKey,0)),""))</f>
        <v/>
      </c>
      <c r="T33" s="2" t="str">
        <f aca="false">IF($G33="","",IFERROR(INDEX(PrMax,MATCH($G33&amp;"|"&amp;$B$5,PrKey,0)),""))</f>
        <v/>
      </c>
      <c r="U33" s="2" t="str">
        <f aca="false">IF($G33="","",IFERROR(INDEX(PrSetsN,MATCH($G33&amp;"|"&amp;$B$5,PrKey,0)),""))</f>
        <v/>
      </c>
      <c r="V33" s="2" t="str">
        <f aca="false">IF($G33="","",IFERROR(INDEX(PrWorkS,MATCH($G33&amp;"|"&amp;$B$5,PrKey,0)),""))</f>
        <v/>
      </c>
      <c r="W33" s="2" t="str">
        <f aca="false">IF($G33="","",IFERROR(INDEX(PrRestS,MATCH($G33&amp;"|"&amp;$B$5,PrKey,0)),""))</f>
        <v/>
      </c>
      <c r="X33" s="2"/>
      <c r="Y33" s="2" t="n">
        <f aca="false">IF(OR(INDEX(WuTrigger,22)="Always",COUNTIF($D$30:$D$51,INDEX(WuTrigger,22))&gt;0,COUNTIF($E$30:$E$51,INDEX(WuTrigger,22))&gt;0),1,0)</f>
        <v>0</v>
      </c>
      <c r="Z33" s="2" t="n">
        <f aca="false">INDEX(WuPriority,22)*1000+22</f>
        <v>6022</v>
      </c>
      <c r="AA33" s="2" t="str">
        <f aca="false">IF($Y33=0,"",SUMIFS(WuMin,$Y$12:$Y$60,1,$Z$12:$Z$60,"&lt;="&amp;$Z33))</f>
        <v/>
      </c>
      <c r="AB33" s="2" t="n">
        <f aca="false">IF(AND($Y33=1,$AA33&lt;=$B$6),1,0)</f>
        <v>0</v>
      </c>
      <c r="AC33" s="2" t="n">
        <f aca="false">INDEX(WuPhaseN,22)*1000+22</f>
        <v>2022</v>
      </c>
      <c r="AD33" s="2" t="str">
        <f aca="false">IF($AB33=0,"",COUNTIFS($AB$12:$AB$60,1,$AC$12:$AC$60,"&lt;"&amp;$AC33)+1)</f>
        <v/>
      </c>
      <c r="AE33" s="2"/>
      <c r="AF33" s="2" t="n">
        <f aca="false">IF(OR(INDEX(MoTarget,22)="Always",COUNTIF($E$30:$E$51,INDEX(MoTarget,22))&gt;0,COUNTIF($F$30:$F$51,"*"&amp;INDEX(MoTarget,22)&amp;"*")&gt;0),1,0)</f>
        <v>0</v>
      </c>
      <c r="AG33" s="2" t="n">
        <f aca="false">INDEX(MoPriority,22)*1000+22</f>
        <v>3022</v>
      </c>
      <c r="AH33" s="2" t="str">
        <f aca="false">IF($AF33=0,"",SUMIFS(MoMin,$AF$12:$AF$54,1,$AG$12:$AG$54,"&lt;="&amp;$AG33))</f>
        <v/>
      </c>
      <c r="AI33" s="2" t="n">
        <f aca="false">IF(AND($AF33=1,$AH33&lt;=$B$7),1,0)</f>
        <v>0</v>
      </c>
      <c r="AJ33" s="2" t="n">
        <f aca="false">INDEX(MoTypeN,22)*1000+22</f>
        <v>2022</v>
      </c>
      <c r="AK33" s="2" t="str">
        <f aca="false">IF($AI33=0,"",COUNTIFS($AI$12:$AI$54,1,$AJ$12:$AJ$54,"&lt;"&amp;$AJ33)+1)</f>
        <v/>
      </c>
    </row>
    <row r="34" customFormat="false" ht="30" hidden="false" customHeight="true" outlineLevel="0" collapsed="false">
      <c r="A34" s="19" t="n">
        <v>5</v>
      </c>
      <c r="B34" s="41"/>
      <c r="C34" s="42" t="str">
        <f aca="false">IF($B34="","",IFERROR(INDEX(ExEquip,MATCH($B34,ExName,0)),"?"))</f>
        <v/>
      </c>
      <c r="D34" s="42" t="str">
        <f aca="false">IF($B34="","",IFERROR(INDEX(ExPattern,MATCH($B34,ExName,0)),"?"))</f>
        <v/>
      </c>
      <c r="E34" s="42" t="str">
        <f aca="false">IF($B34="","",IFERROR(INDEX(ExPrimary,MATCH($B34,ExName,0)),"?"))</f>
        <v/>
      </c>
      <c r="F34" s="43" t="str">
        <f aca="false">IF($B34="","",IFERROR(INDEX(ExSecondary,MATCH($B34,ExName,0)),""))</f>
        <v/>
      </c>
      <c r="G34" s="42" t="str">
        <f aca="false">IF($B34="","",IFERROR(INDEX(ExProfile,MATCH($B34,ExName,0)),"?"))</f>
        <v/>
      </c>
      <c r="H34" s="35" t="str">
        <f aca="false">IF($G34="","",IFERROR(INDEX(PrSets,MATCH($G34&amp;"|"&amp;$B$5,PrKey,0)),"?"))</f>
        <v/>
      </c>
      <c r="I34" s="35" t="str">
        <f aca="false">IF($G34="","",IFERROR(INDEX(PrReps,MATCH($G34&amp;"|"&amp;$B$5,PrKey,0)),"?"))</f>
        <v/>
      </c>
      <c r="J34" s="35" t="str">
        <f aca="false">IF($G34="","",IFERROR(INDEX(PrLoad,MATCH($G34&amp;"|"&amp;$B$5,PrKey,0)),"?"))</f>
        <v/>
      </c>
      <c r="K34" s="35" t="str">
        <f aca="false">IF($B34="","",IF(N($S34)=0,"Bodyweight / RPE",IF(N($R34)=0,"Enter 1RM in library",TEXT(MROUND($R34*$S34,2.5),"0.0")&amp;"–"&amp;TEXT(MROUND($R34*$T34,2.5),"0.0")&amp;" kg")))</f>
        <v/>
      </c>
      <c r="L34" s="35" t="str">
        <f aca="false">IF($G34="","",IFERROR(INDEX(PrRest,MATCH($G34&amp;"|"&amp;$B$5,PrKey,0)),"?"))</f>
        <v/>
      </c>
      <c r="M34" s="43" t="str">
        <f aca="false">IF($G34="","",IFERROR(INDEX(PrNote,MATCH($G34&amp;"|"&amp;$B$5,PrKey,0)),""))</f>
        <v/>
      </c>
      <c r="N34" s="44"/>
      <c r="O34" s="45"/>
      <c r="P34" s="35" t="str">
        <f aca="false">IF(OR($B34="",$U34=""),"",IF($U34=0,0,ROUND(($U34*($V34+$W34)+TimeSetup)/60,0)))</f>
        <v/>
      </c>
      <c r="Q34" s="2"/>
      <c r="R34" s="2" t="str">
        <f aca="false">IF($B34="","",IFERROR(INDEX(Ex1RM,MATCH($B34,ExName,0)),""))</f>
        <v/>
      </c>
      <c r="S34" s="2" t="str">
        <f aca="false">IF($G34="","",IFERROR(INDEX(PrMin,MATCH($G34&amp;"|"&amp;$B$5,PrKey,0)),""))</f>
        <v/>
      </c>
      <c r="T34" s="2" t="str">
        <f aca="false">IF($G34="","",IFERROR(INDEX(PrMax,MATCH($G34&amp;"|"&amp;$B$5,PrKey,0)),""))</f>
        <v/>
      </c>
      <c r="U34" s="2" t="str">
        <f aca="false">IF($G34="","",IFERROR(INDEX(PrSetsN,MATCH($G34&amp;"|"&amp;$B$5,PrKey,0)),""))</f>
        <v/>
      </c>
      <c r="V34" s="2" t="str">
        <f aca="false">IF($G34="","",IFERROR(INDEX(PrWorkS,MATCH($G34&amp;"|"&amp;$B$5,PrKey,0)),""))</f>
        <v/>
      </c>
      <c r="W34" s="2" t="str">
        <f aca="false">IF($G34="","",IFERROR(INDEX(PrRestS,MATCH($G34&amp;"|"&amp;$B$5,PrKey,0)),""))</f>
        <v/>
      </c>
      <c r="X34" s="2"/>
      <c r="Y34" s="2" t="n">
        <f aca="false">IF(OR(INDEX(WuTrigger,23)="Always",COUNTIF($D$30:$D$51,INDEX(WuTrigger,23))&gt;0,COUNTIF($E$30:$E$51,INDEX(WuTrigger,23))&gt;0),1,0)</f>
        <v>0</v>
      </c>
      <c r="Z34" s="2" t="n">
        <f aca="false">INDEX(WuPriority,23)*1000+23</f>
        <v>3023</v>
      </c>
      <c r="AA34" s="2" t="str">
        <f aca="false">IF($Y34=0,"",SUMIFS(WuMin,$Y$12:$Y$60,1,$Z$12:$Z$60,"&lt;="&amp;$Z34))</f>
        <v/>
      </c>
      <c r="AB34" s="2" t="n">
        <f aca="false">IF(AND($Y34=1,$AA34&lt;=$B$6),1,0)</f>
        <v>0</v>
      </c>
      <c r="AC34" s="2" t="n">
        <f aca="false">INDEX(WuPhaseN,23)*1000+23</f>
        <v>3023</v>
      </c>
      <c r="AD34" s="2" t="str">
        <f aca="false">IF($AB34=0,"",COUNTIFS($AB$12:$AB$60,1,$AC$12:$AC$60,"&lt;"&amp;$AC34)+1)</f>
        <v/>
      </c>
      <c r="AE34" s="2"/>
      <c r="AF34" s="2" t="n">
        <f aca="false">IF(OR(INDEX(MoTarget,23)="Always",COUNTIF($E$30:$E$51,INDEX(MoTarget,23))&gt;0,COUNTIF($F$30:$F$51,"*"&amp;INDEX(MoTarget,23)&amp;"*")&gt;0),1,0)</f>
        <v>0</v>
      </c>
      <c r="AG34" s="2" t="n">
        <f aca="false">INDEX(MoPriority,23)*1000+23</f>
        <v>4023</v>
      </c>
      <c r="AH34" s="2" t="str">
        <f aca="false">IF($AF34=0,"",SUMIFS(MoMin,$AF$12:$AF$54,1,$AG$12:$AG$54,"&lt;="&amp;$AG34))</f>
        <v/>
      </c>
      <c r="AI34" s="2" t="n">
        <f aca="false">IF(AND($AF34=1,$AH34&lt;=$B$7),1,0)</f>
        <v>0</v>
      </c>
      <c r="AJ34" s="2" t="n">
        <f aca="false">INDEX(MoTypeN,23)*1000+23</f>
        <v>2023</v>
      </c>
      <c r="AK34" s="2" t="str">
        <f aca="false">IF($AI34=0,"",COUNTIFS($AI$12:$AI$54,1,$AJ$12:$AJ$54,"&lt;"&amp;$AJ34)+1)</f>
        <v/>
      </c>
    </row>
    <row r="35" customFormat="false" ht="30" hidden="false" customHeight="true" outlineLevel="0" collapsed="false">
      <c r="A35" s="19" t="n">
        <v>6</v>
      </c>
      <c r="B35" s="41"/>
      <c r="C35" s="42" t="str">
        <f aca="false">IF($B35="","",IFERROR(INDEX(ExEquip,MATCH($B35,ExName,0)),"?"))</f>
        <v/>
      </c>
      <c r="D35" s="42" t="str">
        <f aca="false">IF($B35="","",IFERROR(INDEX(ExPattern,MATCH($B35,ExName,0)),"?"))</f>
        <v/>
      </c>
      <c r="E35" s="42" t="str">
        <f aca="false">IF($B35="","",IFERROR(INDEX(ExPrimary,MATCH($B35,ExName,0)),"?"))</f>
        <v/>
      </c>
      <c r="F35" s="43" t="str">
        <f aca="false">IF($B35="","",IFERROR(INDEX(ExSecondary,MATCH($B35,ExName,0)),""))</f>
        <v/>
      </c>
      <c r="G35" s="42" t="str">
        <f aca="false">IF($B35="","",IFERROR(INDEX(ExProfile,MATCH($B35,ExName,0)),"?"))</f>
        <v/>
      </c>
      <c r="H35" s="35" t="str">
        <f aca="false">IF($G35="","",IFERROR(INDEX(PrSets,MATCH($G35&amp;"|"&amp;$B$5,PrKey,0)),"?"))</f>
        <v/>
      </c>
      <c r="I35" s="35" t="str">
        <f aca="false">IF($G35="","",IFERROR(INDEX(PrReps,MATCH($G35&amp;"|"&amp;$B$5,PrKey,0)),"?"))</f>
        <v/>
      </c>
      <c r="J35" s="35" t="str">
        <f aca="false">IF($G35="","",IFERROR(INDEX(PrLoad,MATCH($G35&amp;"|"&amp;$B$5,PrKey,0)),"?"))</f>
        <v/>
      </c>
      <c r="K35" s="35" t="str">
        <f aca="false">IF($B35="","",IF(N($S35)=0,"Bodyweight / RPE",IF(N($R35)=0,"Enter 1RM in library",TEXT(MROUND($R35*$S35,2.5),"0.0")&amp;"–"&amp;TEXT(MROUND($R35*$T35,2.5),"0.0")&amp;" kg")))</f>
        <v/>
      </c>
      <c r="L35" s="35" t="str">
        <f aca="false">IF($G35="","",IFERROR(INDEX(PrRest,MATCH($G35&amp;"|"&amp;$B$5,PrKey,0)),"?"))</f>
        <v/>
      </c>
      <c r="M35" s="43" t="str">
        <f aca="false">IF($G35="","",IFERROR(INDEX(PrNote,MATCH($G35&amp;"|"&amp;$B$5,PrKey,0)),""))</f>
        <v/>
      </c>
      <c r="N35" s="44"/>
      <c r="O35" s="45"/>
      <c r="P35" s="35" t="str">
        <f aca="false">IF(OR($B35="",$U35=""),"",IF($U35=0,0,ROUND(($U35*($V35+$W35)+TimeSetup)/60,0)))</f>
        <v/>
      </c>
      <c r="Q35" s="2"/>
      <c r="R35" s="2" t="str">
        <f aca="false">IF($B35="","",IFERROR(INDEX(Ex1RM,MATCH($B35,ExName,0)),""))</f>
        <v/>
      </c>
      <c r="S35" s="2" t="str">
        <f aca="false">IF($G35="","",IFERROR(INDEX(PrMin,MATCH($G35&amp;"|"&amp;$B$5,PrKey,0)),""))</f>
        <v/>
      </c>
      <c r="T35" s="2" t="str">
        <f aca="false">IF($G35="","",IFERROR(INDEX(PrMax,MATCH($G35&amp;"|"&amp;$B$5,PrKey,0)),""))</f>
        <v/>
      </c>
      <c r="U35" s="2" t="str">
        <f aca="false">IF($G35="","",IFERROR(INDEX(PrSetsN,MATCH($G35&amp;"|"&amp;$B$5,PrKey,0)),""))</f>
        <v/>
      </c>
      <c r="V35" s="2" t="str">
        <f aca="false">IF($G35="","",IFERROR(INDEX(PrWorkS,MATCH($G35&amp;"|"&amp;$B$5,PrKey,0)),""))</f>
        <v/>
      </c>
      <c r="W35" s="2" t="str">
        <f aca="false">IF($G35="","",IFERROR(INDEX(PrRestS,MATCH($G35&amp;"|"&amp;$B$5,PrKey,0)),""))</f>
        <v/>
      </c>
      <c r="X35" s="2"/>
      <c r="Y35" s="2" t="n">
        <f aca="false">IF(OR(INDEX(WuTrigger,24)="Always",COUNTIF($D$30:$D$51,INDEX(WuTrigger,24))&gt;0,COUNTIF($E$30:$E$51,INDEX(WuTrigger,24))&gt;0),1,0)</f>
        <v>0</v>
      </c>
      <c r="Z35" s="2" t="n">
        <f aca="false">INDEX(WuPriority,24)*1000+24</f>
        <v>5024</v>
      </c>
      <c r="AA35" s="2" t="str">
        <f aca="false">IF($Y35=0,"",SUMIFS(WuMin,$Y$12:$Y$60,1,$Z$12:$Z$60,"&lt;="&amp;$Z35))</f>
        <v/>
      </c>
      <c r="AB35" s="2" t="n">
        <f aca="false">IF(AND($Y35=1,$AA35&lt;=$B$6),1,0)</f>
        <v>0</v>
      </c>
      <c r="AC35" s="2" t="n">
        <f aca="false">INDEX(WuPhaseN,24)*1000+24</f>
        <v>3024</v>
      </c>
      <c r="AD35" s="2" t="str">
        <f aca="false">IF($AB35=0,"",COUNTIFS($AB$12:$AB$60,1,$AC$12:$AC$60,"&lt;"&amp;$AC35)+1)</f>
        <v/>
      </c>
      <c r="AE35" s="2"/>
      <c r="AF35" s="2" t="n">
        <f aca="false">IF(OR(INDEX(MoTarget,24)="Always",COUNTIF($E$30:$E$51,INDEX(MoTarget,24))&gt;0,COUNTIF($F$30:$F$51,"*"&amp;INDEX(MoTarget,24)&amp;"*")&gt;0),1,0)</f>
        <v>0</v>
      </c>
      <c r="AG35" s="2" t="n">
        <f aca="false">INDEX(MoPriority,24)*1000+24</f>
        <v>2024</v>
      </c>
      <c r="AH35" s="2" t="str">
        <f aca="false">IF($AF35=0,"",SUMIFS(MoMin,$AF$12:$AF$54,1,$AG$12:$AG$54,"&lt;="&amp;$AG35))</f>
        <v/>
      </c>
      <c r="AI35" s="2" t="n">
        <f aca="false">IF(AND($AF35=1,$AH35&lt;=$B$7),1,0)</f>
        <v>0</v>
      </c>
      <c r="AJ35" s="2" t="n">
        <f aca="false">INDEX(MoTypeN,24)*1000+24</f>
        <v>4024</v>
      </c>
      <c r="AK35" s="2" t="str">
        <f aca="false">IF($AI35=0,"",COUNTIFS($AI$12:$AI$54,1,$AJ$12:$AJ$54,"&lt;"&amp;$AJ35)+1)</f>
        <v/>
      </c>
    </row>
    <row r="36" customFormat="false" ht="30" hidden="false" customHeight="true" outlineLevel="0" collapsed="false">
      <c r="A36" s="19" t="n">
        <v>7</v>
      </c>
      <c r="B36" s="41"/>
      <c r="C36" s="42" t="str">
        <f aca="false">IF($B36="","",IFERROR(INDEX(ExEquip,MATCH($B36,ExName,0)),"?"))</f>
        <v/>
      </c>
      <c r="D36" s="42" t="str">
        <f aca="false">IF($B36="","",IFERROR(INDEX(ExPattern,MATCH($B36,ExName,0)),"?"))</f>
        <v/>
      </c>
      <c r="E36" s="42" t="str">
        <f aca="false">IF($B36="","",IFERROR(INDEX(ExPrimary,MATCH($B36,ExName,0)),"?"))</f>
        <v/>
      </c>
      <c r="F36" s="43" t="str">
        <f aca="false">IF($B36="","",IFERROR(INDEX(ExSecondary,MATCH($B36,ExName,0)),""))</f>
        <v/>
      </c>
      <c r="G36" s="42" t="str">
        <f aca="false">IF($B36="","",IFERROR(INDEX(ExProfile,MATCH($B36,ExName,0)),"?"))</f>
        <v/>
      </c>
      <c r="H36" s="35" t="str">
        <f aca="false">IF($G36="","",IFERROR(INDEX(PrSets,MATCH($G36&amp;"|"&amp;$B$5,PrKey,0)),"?"))</f>
        <v/>
      </c>
      <c r="I36" s="35" t="str">
        <f aca="false">IF($G36="","",IFERROR(INDEX(PrReps,MATCH($G36&amp;"|"&amp;$B$5,PrKey,0)),"?"))</f>
        <v/>
      </c>
      <c r="J36" s="35" t="str">
        <f aca="false">IF($G36="","",IFERROR(INDEX(PrLoad,MATCH($G36&amp;"|"&amp;$B$5,PrKey,0)),"?"))</f>
        <v/>
      </c>
      <c r="K36" s="35" t="str">
        <f aca="false">IF($B36="","",IF(N($S36)=0,"Bodyweight / RPE",IF(N($R36)=0,"Enter 1RM in library",TEXT(MROUND($R36*$S36,2.5),"0.0")&amp;"–"&amp;TEXT(MROUND($R36*$T36,2.5),"0.0")&amp;" kg")))</f>
        <v/>
      </c>
      <c r="L36" s="35" t="str">
        <f aca="false">IF($G36="","",IFERROR(INDEX(PrRest,MATCH($G36&amp;"|"&amp;$B$5,PrKey,0)),"?"))</f>
        <v/>
      </c>
      <c r="M36" s="43" t="str">
        <f aca="false">IF($G36="","",IFERROR(INDEX(PrNote,MATCH($G36&amp;"|"&amp;$B$5,PrKey,0)),""))</f>
        <v/>
      </c>
      <c r="N36" s="44"/>
      <c r="O36" s="45"/>
      <c r="P36" s="35" t="str">
        <f aca="false">IF(OR($B36="",$U36=""),"",IF($U36=0,0,ROUND(($U36*($V36+$W36)+TimeSetup)/60,0)))</f>
        <v/>
      </c>
      <c r="Q36" s="2"/>
      <c r="R36" s="2" t="str">
        <f aca="false">IF($B36="","",IFERROR(INDEX(Ex1RM,MATCH($B36,ExName,0)),""))</f>
        <v/>
      </c>
      <c r="S36" s="2" t="str">
        <f aca="false">IF($G36="","",IFERROR(INDEX(PrMin,MATCH($G36&amp;"|"&amp;$B$5,PrKey,0)),""))</f>
        <v/>
      </c>
      <c r="T36" s="2" t="str">
        <f aca="false">IF($G36="","",IFERROR(INDEX(PrMax,MATCH($G36&amp;"|"&amp;$B$5,PrKey,0)),""))</f>
        <v/>
      </c>
      <c r="U36" s="2" t="str">
        <f aca="false">IF($G36="","",IFERROR(INDEX(PrSetsN,MATCH($G36&amp;"|"&amp;$B$5,PrKey,0)),""))</f>
        <v/>
      </c>
      <c r="V36" s="2" t="str">
        <f aca="false">IF($G36="","",IFERROR(INDEX(PrWorkS,MATCH($G36&amp;"|"&amp;$B$5,PrKey,0)),""))</f>
        <v/>
      </c>
      <c r="W36" s="2" t="str">
        <f aca="false">IF($G36="","",IFERROR(INDEX(PrRestS,MATCH($G36&amp;"|"&amp;$B$5,PrKey,0)),""))</f>
        <v/>
      </c>
      <c r="X36" s="2"/>
      <c r="Y36" s="2" t="n">
        <f aca="false">IF(OR(INDEX(WuTrigger,25)="Always",COUNTIF($D$30:$D$51,INDEX(WuTrigger,25))&gt;0,COUNTIF($E$30:$E$51,INDEX(WuTrigger,25))&gt;0),1,0)</f>
        <v>0</v>
      </c>
      <c r="Z36" s="2" t="n">
        <f aca="false">INDEX(WuPriority,25)*1000+25</f>
        <v>5025</v>
      </c>
      <c r="AA36" s="2" t="str">
        <f aca="false">IF($Y36=0,"",SUMIFS(WuMin,$Y$12:$Y$60,1,$Z$12:$Z$60,"&lt;="&amp;$Z36))</f>
        <v/>
      </c>
      <c r="AB36" s="2" t="n">
        <f aca="false">IF(AND($Y36=1,$AA36&lt;=$B$6),1,0)</f>
        <v>0</v>
      </c>
      <c r="AC36" s="2" t="n">
        <f aca="false">INDEX(WuPhaseN,25)*1000+25</f>
        <v>2025</v>
      </c>
      <c r="AD36" s="2" t="str">
        <f aca="false">IF($AB36=0,"",COUNTIFS($AB$12:$AB$60,1,$AC$12:$AC$60,"&lt;"&amp;$AC36)+1)</f>
        <v/>
      </c>
      <c r="AE36" s="2"/>
      <c r="AF36" s="2" t="n">
        <f aca="false">IF(OR(INDEX(MoTarget,25)="Always",COUNTIF($E$30:$E$51,INDEX(MoTarget,25))&gt;0,COUNTIF($F$30:$F$51,"*"&amp;INDEX(MoTarget,25)&amp;"*")&gt;0),1,0)</f>
        <v>0</v>
      </c>
      <c r="AG36" s="2" t="n">
        <f aca="false">INDEX(MoPriority,25)*1000+25</f>
        <v>2025</v>
      </c>
      <c r="AH36" s="2" t="str">
        <f aca="false">IF($AF36=0,"",SUMIFS(MoMin,$AF$12:$AF$54,1,$AG$12:$AG$54,"&lt;="&amp;$AG36))</f>
        <v/>
      </c>
      <c r="AI36" s="2" t="n">
        <f aca="false">IF(AND($AF36=1,$AH36&lt;=$B$7),1,0)</f>
        <v>0</v>
      </c>
      <c r="AJ36" s="2" t="n">
        <f aca="false">INDEX(MoTypeN,25)*1000+25</f>
        <v>4025</v>
      </c>
      <c r="AK36" s="2" t="str">
        <f aca="false">IF($AI36=0,"",COUNTIFS($AI$12:$AI$54,1,$AJ$12:$AJ$54,"&lt;"&amp;$AJ36)+1)</f>
        <v/>
      </c>
    </row>
    <row r="37" customFormat="false" ht="30" hidden="false" customHeight="true" outlineLevel="0" collapsed="false">
      <c r="A37" s="19" t="n">
        <v>8</v>
      </c>
      <c r="B37" s="41"/>
      <c r="C37" s="42" t="str">
        <f aca="false">IF($B37="","",IFERROR(INDEX(ExEquip,MATCH($B37,ExName,0)),"?"))</f>
        <v/>
      </c>
      <c r="D37" s="42" t="str">
        <f aca="false">IF($B37="","",IFERROR(INDEX(ExPattern,MATCH($B37,ExName,0)),"?"))</f>
        <v/>
      </c>
      <c r="E37" s="42" t="str">
        <f aca="false">IF($B37="","",IFERROR(INDEX(ExPrimary,MATCH($B37,ExName,0)),"?"))</f>
        <v/>
      </c>
      <c r="F37" s="43" t="str">
        <f aca="false">IF($B37="","",IFERROR(INDEX(ExSecondary,MATCH($B37,ExName,0)),""))</f>
        <v/>
      </c>
      <c r="G37" s="42" t="str">
        <f aca="false">IF($B37="","",IFERROR(INDEX(ExProfile,MATCH($B37,ExName,0)),"?"))</f>
        <v/>
      </c>
      <c r="H37" s="35" t="str">
        <f aca="false">IF($G37="","",IFERROR(INDEX(PrSets,MATCH($G37&amp;"|"&amp;$B$5,PrKey,0)),"?"))</f>
        <v/>
      </c>
      <c r="I37" s="35" t="str">
        <f aca="false">IF($G37="","",IFERROR(INDEX(PrReps,MATCH($G37&amp;"|"&amp;$B$5,PrKey,0)),"?"))</f>
        <v/>
      </c>
      <c r="J37" s="35" t="str">
        <f aca="false">IF($G37="","",IFERROR(INDEX(PrLoad,MATCH($G37&amp;"|"&amp;$B$5,PrKey,0)),"?"))</f>
        <v/>
      </c>
      <c r="K37" s="35" t="str">
        <f aca="false">IF($B37="","",IF(N($S37)=0,"Bodyweight / RPE",IF(N($R37)=0,"Enter 1RM in library",TEXT(MROUND($R37*$S37,2.5),"0.0")&amp;"–"&amp;TEXT(MROUND($R37*$T37,2.5),"0.0")&amp;" kg")))</f>
        <v/>
      </c>
      <c r="L37" s="35" t="str">
        <f aca="false">IF($G37="","",IFERROR(INDEX(PrRest,MATCH($G37&amp;"|"&amp;$B$5,PrKey,0)),"?"))</f>
        <v/>
      </c>
      <c r="M37" s="43" t="str">
        <f aca="false">IF($G37="","",IFERROR(INDEX(PrNote,MATCH($G37&amp;"|"&amp;$B$5,PrKey,0)),""))</f>
        <v/>
      </c>
      <c r="N37" s="44"/>
      <c r="O37" s="45"/>
      <c r="P37" s="35" t="str">
        <f aca="false">IF(OR($B37="",$U37=""),"",IF($U37=0,0,ROUND(($U37*($V37+$W37)+TimeSetup)/60,0)))</f>
        <v/>
      </c>
      <c r="Q37" s="2"/>
      <c r="R37" s="2" t="str">
        <f aca="false">IF($B37="","",IFERROR(INDEX(Ex1RM,MATCH($B37,ExName,0)),""))</f>
        <v/>
      </c>
      <c r="S37" s="2" t="str">
        <f aca="false">IF($G37="","",IFERROR(INDEX(PrMin,MATCH($G37&amp;"|"&amp;$B$5,PrKey,0)),""))</f>
        <v/>
      </c>
      <c r="T37" s="2" t="str">
        <f aca="false">IF($G37="","",IFERROR(INDEX(PrMax,MATCH($G37&amp;"|"&amp;$B$5,PrKey,0)),""))</f>
        <v/>
      </c>
      <c r="U37" s="2" t="str">
        <f aca="false">IF($G37="","",IFERROR(INDEX(PrSetsN,MATCH($G37&amp;"|"&amp;$B$5,PrKey,0)),""))</f>
        <v/>
      </c>
      <c r="V37" s="2" t="str">
        <f aca="false">IF($G37="","",IFERROR(INDEX(PrWorkS,MATCH($G37&amp;"|"&amp;$B$5,PrKey,0)),""))</f>
        <v/>
      </c>
      <c r="W37" s="2" t="str">
        <f aca="false">IF($G37="","",IFERROR(INDEX(PrRestS,MATCH($G37&amp;"|"&amp;$B$5,PrKey,0)),""))</f>
        <v/>
      </c>
      <c r="X37" s="2"/>
      <c r="Y37" s="2" t="n">
        <f aca="false">IF(OR(INDEX(WuTrigger,26)="Always",COUNTIF($D$30:$D$51,INDEX(WuTrigger,26))&gt;0,COUNTIF($E$30:$E$51,INDEX(WuTrigger,26))&gt;0),1,0)</f>
        <v>0</v>
      </c>
      <c r="Z37" s="2" t="n">
        <f aca="false">INDEX(WuPriority,26)*1000+26</f>
        <v>3026</v>
      </c>
      <c r="AA37" s="2" t="str">
        <f aca="false">IF($Y37=0,"",SUMIFS(WuMin,$Y$12:$Y$60,1,$Z$12:$Z$60,"&lt;="&amp;$Z37))</f>
        <v/>
      </c>
      <c r="AB37" s="2" t="n">
        <f aca="false">IF(AND($Y37=1,$AA37&lt;=$B$6),1,0)</f>
        <v>0</v>
      </c>
      <c r="AC37" s="2" t="n">
        <f aca="false">INDEX(WuPhaseN,26)*1000+26</f>
        <v>3026</v>
      </c>
      <c r="AD37" s="2" t="str">
        <f aca="false">IF($AB37=0,"",COUNTIFS($AB$12:$AB$60,1,$AC$12:$AC$60,"&lt;"&amp;$AC37)+1)</f>
        <v/>
      </c>
      <c r="AE37" s="2"/>
      <c r="AF37" s="2" t="n">
        <f aca="false">IF(OR(INDEX(MoTarget,26)="Always",COUNTIF($E$30:$E$51,INDEX(MoTarget,26))&gt;0,COUNTIF($F$30:$F$51,"*"&amp;INDEX(MoTarget,26)&amp;"*")&gt;0),1,0)</f>
        <v>0</v>
      </c>
      <c r="AG37" s="2" t="n">
        <f aca="false">INDEX(MoPriority,26)*1000+26</f>
        <v>3026</v>
      </c>
      <c r="AH37" s="2" t="str">
        <f aca="false">IF($AF37=0,"",SUMIFS(MoMin,$AF$12:$AF$54,1,$AG$12:$AG$54,"&lt;="&amp;$AG37))</f>
        <v/>
      </c>
      <c r="AI37" s="2" t="n">
        <f aca="false">IF(AND($AF37=1,$AH37&lt;=$B$7),1,0)</f>
        <v>0</v>
      </c>
      <c r="AJ37" s="2" t="n">
        <f aca="false">INDEX(MoTypeN,26)*1000+26</f>
        <v>4026</v>
      </c>
      <c r="AK37" s="2" t="str">
        <f aca="false">IF($AI37=0,"",COUNTIFS($AI$12:$AI$54,1,$AJ$12:$AJ$54,"&lt;"&amp;$AJ37)+1)</f>
        <v/>
      </c>
    </row>
    <row r="38" customFormat="false" ht="30" hidden="false" customHeight="true" outlineLevel="0" collapsed="false">
      <c r="A38" s="19" t="n">
        <v>9</v>
      </c>
      <c r="B38" s="41"/>
      <c r="C38" s="42" t="str">
        <f aca="false">IF($B38="","",IFERROR(INDEX(ExEquip,MATCH($B38,ExName,0)),"?"))</f>
        <v/>
      </c>
      <c r="D38" s="42" t="str">
        <f aca="false">IF($B38="","",IFERROR(INDEX(ExPattern,MATCH($B38,ExName,0)),"?"))</f>
        <v/>
      </c>
      <c r="E38" s="42" t="str">
        <f aca="false">IF($B38="","",IFERROR(INDEX(ExPrimary,MATCH($B38,ExName,0)),"?"))</f>
        <v/>
      </c>
      <c r="F38" s="43" t="str">
        <f aca="false">IF($B38="","",IFERROR(INDEX(ExSecondary,MATCH($B38,ExName,0)),""))</f>
        <v/>
      </c>
      <c r="G38" s="42" t="str">
        <f aca="false">IF($B38="","",IFERROR(INDEX(ExProfile,MATCH($B38,ExName,0)),"?"))</f>
        <v/>
      </c>
      <c r="H38" s="35" t="str">
        <f aca="false">IF($G38="","",IFERROR(INDEX(PrSets,MATCH($G38&amp;"|"&amp;$B$5,PrKey,0)),"?"))</f>
        <v/>
      </c>
      <c r="I38" s="35" t="str">
        <f aca="false">IF($G38="","",IFERROR(INDEX(PrReps,MATCH($G38&amp;"|"&amp;$B$5,PrKey,0)),"?"))</f>
        <v/>
      </c>
      <c r="J38" s="35" t="str">
        <f aca="false">IF($G38="","",IFERROR(INDEX(PrLoad,MATCH($G38&amp;"|"&amp;$B$5,PrKey,0)),"?"))</f>
        <v/>
      </c>
      <c r="K38" s="35" t="str">
        <f aca="false">IF($B38="","",IF(N($S38)=0,"Bodyweight / RPE",IF(N($R38)=0,"Enter 1RM in library",TEXT(MROUND($R38*$S38,2.5),"0.0")&amp;"–"&amp;TEXT(MROUND($R38*$T38,2.5),"0.0")&amp;" kg")))</f>
        <v/>
      </c>
      <c r="L38" s="35" t="str">
        <f aca="false">IF($G38="","",IFERROR(INDEX(PrRest,MATCH($G38&amp;"|"&amp;$B$5,PrKey,0)),"?"))</f>
        <v/>
      </c>
      <c r="M38" s="43" t="str">
        <f aca="false">IF($G38="","",IFERROR(INDEX(PrNote,MATCH($G38&amp;"|"&amp;$B$5,PrKey,0)),""))</f>
        <v/>
      </c>
      <c r="N38" s="44"/>
      <c r="O38" s="45"/>
      <c r="P38" s="35" t="str">
        <f aca="false">IF(OR($B38="",$U38=""),"",IF($U38=0,0,ROUND(($U38*($V38+$W38)+TimeSetup)/60,0)))</f>
        <v/>
      </c>
      <c r="Q38" s="2"/>
      <c r="R38" s="2" t="str">
        <f aca="false">IF($B38="","",IFERROR(INDEX(Ex1RM,MATCH($B38,ExName,0)),""))</f>
        <v/>
      </c>
      <c r="S38" s="2" t="str">
        <f aca="false">IF($G38="","",IFERROR(INDEX(PrMin,MATCH($G38&amp;"|"&amp;$B$5,PrKey,0)),""))</f>
        <v/>
      </c>
      <c r="T38" s="2" t="str">
        <f aca="false">IF($G38="","",IFERROR(INDEX(PrMax,MATCH($G38&amp;"|"&amp;$B$5,PrKey,0)),""))</f>
        <v/>
      </c>
      <c r="U38" s="2" t="str">
        <f aca="false">IF($G38="","",IFERROR(INDEX(PrSetsN,MATCH($G38&amp;"|"&amp;$B$5,PrKey,0)),""))</f>
        <v/>
      </c>
      <c r="V38" s="2" t="str">
        <f aca="false">IF($G38="","",IFERROR(INDEX(PrWorkS,MATCH($G38&amp;"|"&amp;$B$5,PrKey,0)),""))</f>
        <v/>
      </c>
      <c r="W38" s="2" t="str">
        <f aca="false">IF($G38="","",IFERROR(INDEX(PrRestS,MATCH($G38&amp;"|"&amp;$B$5,PrKey,0)),""))</f>
        <v/>
      </c>
      <c r="X38" s="2"/>
      <c r="Y38" s="2" t="n">
        <f aca="false">IF(OR(INDEX(WuTrigger,27)="Always",COUNTIF($D$30:$D$51,INDEX(WuTrigger,27))&gt;0,COUNTIF($E$30:$E$51,INDEX(WuTrigger,27))&gt;0),1,0)</f>
        <v>0</v>
      </c>
      <c r="Z38" s="2" t="n">
        <f aca="false">INDEX(WuPriority,27)*1000+27</f>
        <v>6027</v>
      </c>
      <c r="AA38" s="2" t="str">
        <f aca="false">IF($Y38=0,"",SUMIFS(WuMin,$Y$12:$Y$60,1,$Z$12:$Z$60,"&lt;="&amp;$Z38))</f>
        <v/>
      </c>
      <c r="AB38" s="2" t="n">
        <f aca="false">IF(AND($Y38=1,$AA38&lt;=$B$6),1,0)</f>
        <v>0</v>
      </c>
      <c r="AC38" s="2" t="n">
        <f aca="false">INDEX(WuPhaseN,27)*1000+27</f>
        <v>2027</v>
      </c>
      <c r="AD38" s="2" t="str">
        <f aca="false">IF($AB38=0,"",COUNTIFS($AB$12:$AB$60,1,$AC$12:$AC$60,"&lt;"&amp;$AC38)+1)</f>
        <v/>
      </c>
      <c r="AE38" s="2"/>
      <c r="AF38" s="2" t="n">
        <f aca="false">IF(OR(INDEX(MoTarget,27)="Always",COUNTIF($E$30:$E$51,INDEX(MoTarget,27))&gt;0,COUNTIF($F$30:$F$51,"*"&amp;INDEX(MoTarget,27)&amp;"*")&gt;0),1,0)</f>
        <v>0</v>
      </c>
      <c r="AG38" s="2" t="n">
        <f aca="false">INDEX(MoPriority,27)*1000+27</f>
        <v>4027</v>
      </c>
      <c r="AH38" s="2" t="str">
        <f aca="false">IF($AF38=0,"",SUMIFS(MoMin,$AF$12:$AF$54,1,$AG$12:$AG$54,"&lt;="&amp;$AG38))</f>
        <v/>
      </c>
      <c r="AI38" s="2" t="n">
        <f aca="false">IF(AND($AF38=1,$AH38&lt;=$B$7),1,0)</f>
        <v>0</v>
      </c>
      <c r="AJ38" s="2" t="n">
        <f aca="false">INDEX(MoTypeN,27)*1000+27</f>
        <v>4027</v>
      </c>
      <c r="AK38" s="2" t="str">
        <f aca="false">IF($AI38=0,"",COUNTIFS($AI$12:$AI$54,1,$AJ$12:$AJ$54,"&lt;"&amp;$AJ38)+1)</f>
        <v/>
      </c>
    </row>
    <row r="39" customFormat="false" ht="30" hidden="false" customHeight="true" outlineLevel="0" collapsed="false">
      <c r="A39" s="19" t="n">
        <v>10</v>
      </c>
      <c r="B39" s="41"/>
      <c r="C39" s="42" t="str">
        <f aca="false">IF($B39="","",IFERROR(INDEX(ExEquip,MATCH($B39,ExName,0)),"?"))</f>
        <v/>
      </c>
      <c r="D39" s="42" t="str">
        <f aca="false">IF($B39="","",IFERROR(INDEX(ExPattern,MATCH($B39,ExName,0)),"?"))</f>
        <v/>
      </c>
      <c r="E39" s="42" t="str">
        <f aca="false">IF($B39="","",IFERROR(INDEX(ExPrimary,MATCH($B39,ExName,0)),"?"))</f>
        <v/>
      </c>
      <c r="F39" s="43" t="str">
        <f aca="false">IF($B39="","",IFERROR(INDEX(ExSecondary,MATCH($B39,ExName,0)),""))</f>
        <v/>
      </c>
      <c r="G39" s="42" t="str">
        <f aca="false">IF($B39="","",IFERROR(INDEX(ExProfile,MATCH($B39,ExName,0)),"?"))</f>
        <v/>
      </c>
      <c r="H39" s="35" t="str">
        <f aca="false">IF($G39="","",IFERROR(INDEX(PrSets,MATCH($G39&amp;"|"&amp;$B$5,PrKey,0)),"?"))</f>
        <v/>
      </c>
      <c r="I39" s="35" t="str">
        <f aca="false">IF($G39="","",IFERROR(INDEX(PrReps,MATCH($G39&amp;"|"&amp;$B$5,PrKey,0)),"?"))</f>
        <v/>
      </c>
      <c r="J39" s="35" t="str">
        <f aca="false">IF($G39="","",IFERROR(INDEX(PrLoad,MATCH($G39&amp;"|"&amp;$B$5,PrKey,0)),"?"))</f>
        <v/>
      </c>
      <c r="K39" s="35" t="str">
        <f aca="false">IF($B39="","",IF(N($S39)=0,"Bodyweight / RPE",IF(N($R39)=0,"Enter 1RM in library",TEXT(MROUND($R39*$S39,2.5),"0.0")&amp;"–"&amp;TEXT(MROUND($R39*$T39,2.5),"0.0")&amp;" kg")))</f>
        <v/>
      </c>
      <c r="L39" s="35" t="str">
        <f aca="false">IF($G39="","",IFERROR(INDEX(PrRest,MATCH($G39&amp;"|"&amp;$B$5,PrKey,0)),"?"))</f>
        <v/>
      </c>
      <c r="M39" s="43" t="str">
        <f aca="false">IF($G39="","",IFERROR(INDEX(PrNote,MATCH($G39&amp;"|"&amp;$B$5,PrKey,0)),""))</f>
        <v/>
      </c>
      <c r="N39" s="44"/>
      <c r="O39" s="45"/>
      <c r="P39" s="35" t="str">
        <f aca="false">IF(OR($B39="",$U39=""),"",IF($U39=0,0,ROUND(($U39*($V39+$W39)+TimeSetup)/60,0)))</f>
        <v/>
      </c>
      <c r="Q39" s="2"/>
      <c r="R39" s="2" t="str">
        <f aca="false">IF($B39="","",IFERROR(INDEX(Ex1RM,MATCH($B39,ExName,0)),""))</f>
        <v/>
      </c>
      <c r="S39" s="2" t="str">
        <f aca="false">IF($G39="","",IFERROR(INDEX(PrMin,MATCH($G39&amp;"|"&amp;$B$5,PrKey,0)),""))</f>
        <v/>
      </c>
      <c r="T39" s="2" t="str">
        <f aca="false">IF($G39="","",IFERROR(INDEX(PrMax,MATCH($G39&amp;"|"&amp;$B$5,PrKey,0)),""))</f>
        <v/>
      </c>
      <c r="U39" s="2" t="str">
        <f aca="false">IF($G39="","",IFERROR(INDEX(PrSetsN,MATCH($G39&amp;"|"&amp;$B$5,PrKey,0)),""))</f>
        <v/>
      </c>
      <c r="V39" s="2" t="str">
        <f aca="false">IF($G39="","",IFERROR(INDEX(PrWorkS,MATCH($G39&amp;"|"&amp;$B$5,PrKey,0)),""))</f>
        <v/>
      </c>
      <c r="W39" s="2" t="str">
        <f aca="false">IF($G39="","",IFERROR(INDEX(PrRestS,MATCH($G39&amp;"|"&amp;$B$5,PrKey,0)),""))</f>
        <v/>
      </c>
      <c r="X39" s="2"/>
      <c r="Y39" s="2" t="n">
        <f aca="false">IF(OR(INDEX(WuTrigger,28)="Always",COUNTIF($D$30:$D$51,INDEX(WuTrigger,28))&gt;0,COUNTIF($E$30:$E$51,INDEX(WuTrigger,28))&gt;0),1,0)</f>
        <v>0</v>
      </c>
      <c r="Z39" s="2" t="n">
        <f aca="false">INDEX(WuPriority,28)*1000+28</f>
        <v>2028</v>
      </c>
      <c r="AA39" s="2" t="str">
        <f aca="false">IF($Y39=0,"",SUMIFS(WuMin,$Y$12:$Y$60,1,$Z$12:$Z$60,"&lt;="&amp;$Z39))</f>
        <v/>
      </c>
      <c r="AB39" s="2" t="n">
        <f aca="false">IF(AND($Y39=1,$AA39&lt;=$B$6),1,0)</f>
        <v>0</v>
      </c>
      <c r="AC39" s="2" t="n">
        <f aca="false">INDEX(WuPhaseN,28)*1000+28</f>
        <v>4028</v>
      </c>
      <c r="AD39" s="2" t="str">
        <f aca="false">IF($AB39=0,"",COUNTIFS($AB$12:$AB$60,1,$AC$12:$AC$60,"&lt;"&amp;$AC39)+1)</f>
        <v/>
      </c>
      <c r="AE39" s="2"/>
      <c r="AF39" s="2" t="n">
        <f aca="false">IF(OR(INDEX(MoTarget,28)="Always",COUNTIF($E$30:$E$51,INDEX(MoTarget,28))&gt;0,COUNTIF($F$30:$F$51,"*"&amp;INDEX(MoTarget,28)&amp;"*")&gt;0),1,0)</f>
        <v>0</v>
      </c>
      <c r="AG39" s="2" t="n">
        <f aca="false">INDEX(MoPriority,28)*1000+28</f>
        <v>4028</v>
      </c>
      <c r="AH39" s="2" t="str">
        <f aca="false">IF($AF39=0,"",SUMIFS(MoMin,$AF$12:$AF$54,1,$AG$12:$AG$54,"&lt;="&amp;$AG39))</f>
        <v/>
      </c>
      <c r="AI39" s="2" t="n">
        <f aca="false">IF(AND($AF39=1,$AH39&lt;=$B$7),1,0)</f>
        <v>0</v>
      </c>
      <c r="AJ39" s="2" t="n">
        <f aca="false">INDEX(MoTypeN,28)*1000+28</f>
        <v>4028</v>
      </c>
      <c r="AK39" s="2" t="str">
        <f aca="false">IF($AI39=0,"",COUNTIFS($AI$12:$AI$54,1,$AJ$12:$AJ$54,"&lt;"&amp;$AJ39)+1)</f>
        <v/>
      </c>
    </row>
    <row r="40" customFormat="false" ht="30" hidden="false" customHeight="true" outlineLevel="0" collapsed="false">
      <c r="A40" s="19" t="n">
        <v>11</v>
      </c>
      <c r="B40" s="41"/>
      <c r="C40" s="42" t="str">
        <f aca="false">IF($B40="","",IFERROR(INDEX(ExEquip,MATCH($B40,ExName,0)),"?"))</f>
        <v/>
      </c>
      <c r="D40" s="42" t="str">
        <f aca="false">IF($B40="","",IFERROR(INDEX(ExPattern,MATCH($B40,ExName,0)),"?"))</f>
        <v/>
      </c>
      <c r="E40" s="42" t="str">
        <f aca="false">IF($B40="","",IFERROR(INDEX(ExPrimary,MATCH($B40,ExName,0)),"?"))</f>
        <v/>
      </c>
      <c r="F40" s="43" t="str">
        <f aca="false">IF($B40="","",IFERROR(INDEX(ExSecondary,MATCH($B40,ExName,0)),""))</f>
        <v/>
      </c>
      <c r="G40" s="42" t="str">
        <f aca="false">IF($B40="","",IFERROR(INDEX(ExProfile,MATCH($B40,ExName,0)),"?"))</f>
        <v/>
      </c>
      <c r="H40" s="35" t="str">
        <f aca="false">IF($G40="","",IFERROR(INDEX(PrSets,MATCH($G40&amp;"|"&amp;$B$5,PrKey,0)),"?"))</f>
        <v/>
      </c>
      <c r="I40" s="35" t="str">
        <f aca="false">IF($G40="","",IFERROR(INDEX(PrReps,MATCH($G40&amp;"|"&amp;$B$5,PrKey,0)),"?"))</f>
        <v/>
      </c>
      <c r="J40" s="35" t="str">
        <f aca="false">IF($G40="","",IFERROR(INDEX(PrLoad,MATCH($G40&amp;"|"&amp;$B$5,PrKey,0)),"?"))</f>
        <v/>
      </c>
      <c r="K40" s="35" t="str">
        <f aca="false">IF($B40="","",IF(N($S40)=0,"Bodyweight / RPE",IF(N($R40)=0,"Enter 1RM in library",TEXT(MROUND($R40*$S40,2.5),"0.0")&amp;"–"&amp;TEXT(MROUND($R40*$T40,2.5),"0.0")&amp;" kg")))</f>
        <v/>
      </c>
      <c r="L40" s="35" t="str">
        <f aca="false">IF($G40="","",IFERROR(INDEX(PrRest,MATCH($G40&amp;"|"&amp;$B$5,PrKey,0)),"?"))</f>
        <v/>
      </c>
      <c r="M40" s="43" t="str">
        <f aca="false">IF($G40="","",IFERROR(INDEX(PrNote,MATCH($G40&amp;"|"&amp;$B$5,PrKey,0)),""))</f>
        <v/>
      </c>
      <c r="N40" s="44"/>
      <c r="O40" s="45"/>
      <c r="P40" s="35" t="str">
        <f aca="false">IF(OR($B40="",$U40=""),"",IF($U40=0,0,ROUND(($U40*($V40+$W40)+TimeSetup)/60,0)))</f>
        <v/>
      </c>
      <c r="Q40" s="2"/>
      <c r="R40" s="2" t="str">
        <f aca="false">IF($B40="","",IFERROR(INDEX(Ex1RM,MATCH($B40,ExName,0)),""))</f>
        <v/>
      </c>
      <c r="S40" s="2" t="str">
        <f aca="false">IF($G40="","",IFERROR(INDEX(PrMin,MATCH($G40&amp;"|"&amp;$B$5,PrKey,0)),""))</f>
        <v/>
      </c>
      <c r="T40" s="2" t="str">
        <f aca="false">IF($G40="","",IFERROR(INDEX(PrMax,MATCH($G40&amp;"|"&amp;$B$5,PrKey,0)),""))</f>
        <v/>
      </c>
      <c r="U40" s="2" t="str">
        <f aca="false">IF($G40="","",IFERROR(INDEX(PrSetsN,MATCH($G40&amp;"|"&amp;$B$5,PrKey,0)),""))</f>
        <v/>
      </c>
      <c r="V40" s="2" t="str">
        <f aca="false">IF($G40="","",IFERROR(INDEX(PrWorkS,MATCH($G40&amp;"|"&amp;$B$5,PrKey,0)),""))</f>
        <v/>
      </c>
      <c r="W40" s="2" t="str">
        <f aca="false">IF($G40="","",IFERROR(INDEX(PrRestS,MATCH($G40&amp;"|"&amp;$B$5,PrKey,0)),""))</f>
        <v/>
      </c>
      <c r="X40" s="2"/>
      <c r="Y40" s="2" t="n">
        <f aca="false">IF(OR(INDEX(WuTrigger,29)="Always",COUNTIF($D$30:$D$51,INDEX(WuTrigger,29))&gt;0,COUNTIF($E$30:$E$51,INDEX(WuTrigger,29))&gt;0),1,0)</f>
        <v>0</v>
      </c>
      <c r="Z40" s="2" t="n">
        <f aca="false">INDEX(WuPriority,29)*1000+29</f>
        <v>4029</v>
      </c>
      <c r="AA40" s="2" t="str">
        <f aca="false">IF($Y40=0,"",SUMIFS(WuMin,$Y$12:$Y$60,1,$Z$12:$Z$60,"&lt;="&amp;$Z40))</f>
        <v/>
      </c>
      <c r="AB40" s="2" t="n">
        <f aca="false">IF(AND($Y40=1,$AA40&lt;=$B$6),1,0)</f>
        <v>0</v>
      </c>
      <c r="AC40" s="2" t="n">
        <f aca="false">INDEX(WuPhaseN,29)*1000+29</f>
        <v>2029</v>
      </c>
      <c r="AD40" s="2" t="str">
        <f aca="false">IF($AB40=0,"",COUNTIFS($AB$12:$AB$60,1,$AC$12:$AC$60,"&lt;"&amp;$AC40)+1)</f>
        <v/>
      </c>
      <c r="AE40" s="2"/>
      <c r="AF40" s="2" t="n">
        <f aca="false">IF(OR(INDEX(MoTarget,29)="Always",COUNTIF($E$30:$E$51,INDEX(MoTarget,29))&gt;0,COUNTIF($F$30:$F$51,"*"&amp;INDEX(MoTarget,29)&amp;"*")&gt;0),1,0)</f>
        <v>0</v>
      </c>
      <c r="AG40" s="2" t="n">
        <f aca="false">INDEX(MoPriority,29)*1000+29</f>
        <v>5029</v>
      </c>
      <c r="AH40" s="2" t="str">
        <f aca="false">IF($AF40=0,"",SUMIFS(MoMin,$AF$12:$AF$54,1,$AG$12:$AG$54,"&lt;="&amp;$AG40))</f>
        <v/>
      </c>
      <c r="AI40" s="2" t="n">
        <f aca="false">IF(AND($AF40=1,$AH40&lt;=$B$7),1,0)</f>
        <v>0</v>
      </c>
      <c r="AJ40" s="2" t="n">
        <f aca="false">INDEX(MoTypeN,29)*1000+29</f>
        <v>4029</v>
      </c>
      <c r="AK40" s="2" t="str">
        <f aca="false">IF($AI40=0,"",COUNTIFS($AI$12:$AI$54,1,$AJ$12:$AJ$54,"&lt;"&amp;$AJ40)+1)</f>
        <v/>
      </c>
    </row>
    <row r="41" customFormat="false" ht="30" hidden="false" customHeight="true" outlineLevel="0" collapsed="false">
      <c r="A41" s="19" t="n">
        <v>12</v>
      </c>
      <c r="B41" s="41"/>
      <c r="C41" s="42" t="str">
        <f aca="false">IF($B41="","",IFERROR(INDEX(ExEquip,MATCH($B41,ExName,0)),"?"))</f>
        <v/>
      </c>
      <c r="D41" s="42" t="str">
        <f aca="false">IF($B41="","",IFERROR(INDEX(ExPattern,MATCH($B41,ExName,0)),"?"))</f>
        <v/>
      </c>
      <c r="E41" s="42" t="str">
        <f aca="false">IF($B41="","",IFERROR(INDEX(ExPrimary,MATCH($B41,ExName,0)),"?"))</f>
        <v/>
      </c>
      <c r="F41" s="43" t="str">
        <f aca="false">IF($B41="","",IFERROR(INDEX(ExSecondary,MATCH($B41,ExName,0)),""))</f>
        <v/>
      </c>
      <c r="G41" s="42" t="str">
        <f aca="false">IF($B41="","",IFERROR(INDEX(ExProfile,MATCH($B41,ExName,0)),"?"))</f>
        <v/>
      </c>
      <c r="H41" s="35" t="str">
        <f aca="false">IF($G41="","",IFERROR(INDEX(PrSets,MATCH($G41&amp;"|"&amp;$B$5,PrKey,0)),"?"))</f>
        <v/>
      </c>
      <c r="I41" s="35" t="str">
        <f aca="false">IF($G41="","",IFERROR(INDEX(PrReps,MATCH($G41&amp;"|"&amp;$B$5,PrKey,0)),"?"))</f>
        <v/>
      </c>
      <c r="J41" s="35" t="str">
        <f aca="false">IF($G41="","",IFERROR(INDEX(PrLoad,MATCH($G41&amp;"|"&amp;$B$5,PrKey,0)),"?"))</f>
        <v/>
      </c>
      <c r="K41" s="35" t="str">
        <f aca="false">IF($B41="","",IF(N($S41)=0,"Bodyweight / RPE",IF(N($R41)=0,"Enter 1RM in library",TEXT(MROUND($R41*$S41,2.5),"0.0")&amp;"–"&amp;TEXT(MROUND($R41*$T41,2.5),"0.0")&amp;" kg")))</f>
        <v/>
      </c>
      <c r="L41" s="35" t="str">
        <f aca="false">IF($G41="","",IFERROR(INDEX(PrRest,MATCH($G41&amp;"|"&amp;$B$5,PrKey,0)),"?"))</f>
        <v/>
      </c>
      <c r="M41" s="43" t="str">
        <f aca="false">IF($G41="","",IFERROR(INDEX(PrNote,MATCH($G41&amp;"|"&amp;$B$5,PrKey,0)),""))</f>
        <v/>
      </c>
      <c r="N41" s="44"/>
      <c r="O41" s="45"/>
      <c r="P41" s="35" t="str">
        <f aca="false">IF(OR($B41="",$U41=""),"",IF($U41=0,0,ROUND(($U41*($V41+$W41)+TimeSetup)/60,0)))</f>
        <v/>
      </c>
      <c r="Q41" s="2"/>
      <c r="R41" s="2" t="str">
        <f aca="false">IF($B41="","",IFERROR(INDEX(Ex1RM,MATCH($B41,ExName,0)),""))</f>
        <v/>
      </c>
      <c r="S41" s="2" t="str">
        <f aca="false">IF($G41="","",IFERROR(INDEX(PrMin,MATCH($G41&amp;"|"&amp;$B$5,PrKey,0)),""))</f>
        <v/>
      </c>
      <c r="T41" s="2" t="str">
        <f aca="false">IF($G41="","",IFERROR(INDEX(PrMax,MATCH($G41&amp;"|"&amp;$B$5,PrKey,0)),""))</f>
        <v/>
      </c>
      <c r="U41" s="2" t="str">
        <f aca="false">IF($G41="","",IFERROR(INDEX(PrSetsN,MATCH($G41&amp;"|"&amp;$B$5,PrKey,0)),""))</f>
        <v/>
      </c>
      <c r="V41" s="2" t="str">
        <f aca="false">IF($G41="","",IFERROR(INDEX(PrWorkS,MATCH($G41&amp;"|"&amp;$B$5,PrKey,0)),""))</f>
        <v/>
      </c>
      <c r="W41" s="2" t="str">
        <f aca="false">IF($G41="","",IFERROR(INDEX(PrRestS,MATCH($G41&amp;"|"&amp;$B$5,PrKey,0)),""))</f>
        <v/>
      </c>
      <c r="X41" s="2"/>
      <c r="Y41" s="2" t="n">
        <f aca="false">IF(OR(INDEX(WuTrigger,30)="Always",COUNTIF($D$30:$D$51,INDEX(WuTrigger,30))&gt;0,COUNTIF($E$30:$E$51,INDEX(WuTrigger,30))&gt;0),1,0)</f>
        <v>0</v>
      </c>
      <c r="Z41" s="2" t="n">
        <f aca="false">INDEX(WuPriority,30)*1000+30</f>
        <v>5030</v>
      </c>
      <c r="AA41" s="2" t="str">
        <f aca="false">IF($Y41=0,"",SUMIFS(WuMin,$Y$12:$Y$60,1,$Z$12:$Z$60,"&lt;="&amp;$Z41))</f>
        <v/>
      </c>
      <c r="AB41" s="2" t="n">
        <f aca="false">IF(AND($Y41=1,$AA41&lt;=$B$6),1,0)</f>
        <v>0</v>
      </c>
      <c r="AC41" s="2" t="n">
        <f aca="false">INDEX(WuPhaseN,30)*1000+30</f>
        <v>2030</v>
      </c>
      <c r="AD41" s="2" t="str">
        <f aca="false">IF($AB41=0,"",COUNTIFS($AB$12:$AB$60,1,$AC$12:$AC$60,"&lt;"&amp;$AC41)+1)</f>
        <v/>
      </c>
      <c r="AE41" s="2"/>
      <c r="AF41" s="2" t="n">
        <f aca="false">IF(OR(INDEX(MoTarget,30)="Always",COUNTIF($E$30:$E$51,INDEX(MoTarget,30))&gt;0,COUNTIF($F$30:$F$51,"*"&amp;INDEX(MoTarget,30)&amp;"*")&gt;0),1,0)</f>
        <v>0</v>
      </c>
      <c r="AG41" s="2" t="n">
        <f aca="false">INDEX(MoPriority,30)*1000+30</f>
        <v>2030</v>
      </c>
      <c r="AH41" s="2" t="str">
        <f aca="false">IF($AF41=0,"",SUMIFS(MoMin,$AF$12:$AF$54,1,$AG$12:$AG$54,"&lt;="&amp;$AG41))</f>
        <v/>
      </c>
      <c r="AI41" s="2" t="n">
        <f aca="false">IF(AND($AF41=1,$AH41&lt;=$B$7),1,0)</f>
        <v>0</v>
      </c>
      <c r="AJ41" s="2" t="n">
        <f aca="false">INDEX(MoTypeN,30)*1000+30</f>
        <v>3030</v>
      </c>
      <c r="AK41" s="2" t="str">
        <f aca="false">IF($AI41=0,"",COUNTIFS($AI$12:$AI$54,1,$AJ$12:$AJ$54,"&lt;"&amp;$AJ41)+1)</f>
        <v/>
      </c>
    </row>
    <row r="42" customFormat="false" ht="30" hidden="false" customHeight="true" outlineLevel="0" collapsed="false">
      <c r="A42" s="19" t="n">
        <v>13</v>
      </c>
      <c r="B42" s="41"/>
      <c r="C42" s="42" t="str">
        <f aca="false">IF($B42="","",IFERROR(INDEX(ExEquip,MATCH($B42,ExName,0)),"?"))</f>
        <v/>
      </c>
      <c r="D42" s="42" t="str">
        <f aca="false">IF($B42="","",IFERROR(INDEX(ExPattern,MATCH($B42,ExName,0)),"?"))</f>
        <v/>
      </c>
      <c r="E42" s="42" t="str">
        <f aca="false">IF($B42="","",IFERROR(INDEX(ExPrimary,MATCH($B42,ExName,0)),"?"))</f>
        <v/>
      </c>
      <c r="F42" s="43" t="str">
        <f aca="false">IF($B42="","",IFERROR(INDEX(ExSecondary,MATCH($B42,ExName,0)),""))</f>
        <v/>
      </c>
      <c r="G42" s="42" t="str">
        <f aca="false">IF($B42="","",IFERROR(INDEX(ExProfile,MATCH($B42,ExName,0)),"?"))</f>
        <v/>
      </c>
      <c r="H42" s="35" t="str">
        <f aca="false">IF($G42="","",IFERROR(INDEX(PrSets,MATCH($G42&amp;"|"&amp;$B$5,PrKey,0)),"?"))</f>
        <v/>
      </c>
      <c r="I42" s="35" t="str">
        <f aca="false">IF($G42="","",IFERROR(INDEX(PrReps,MATCH($G42&amp;"|"&amp;$B$5,PrKey,0)),"?"))</f>
        <v/>
      </c>
      <c r="J42" s="35" t="str">
        <f aca="false">IF($G42="","",IFERROR(INDEX(PrLoad,MATCH($G42&amp;"|"&amp;$B$5,PrKey,0)),"?"))</f>
        <v/>
      </c>
      <c r="K42" s="35" t="str">
        <f aca="false">IF($B42="","",IF(N($S42)=0,"Bodyweight / RPE",IF(N($R42)=0,"Enter 1RM in library",TEXT(MROUND($R42*$S42,2.5),"0.0")&amp;"–"&amp;TEXT(MROUND($R42*$T42,2.5),"0.0")&amp;" kg")))</f>
        <v/>
      </c>
      <c r="L42" s="35" t="str">
        <f aca="false">IF($G42="","",IFERROR(INDEX(PrRest,MATCH($G42&amp;"|"&amp;$B$5,PrKey,0)),"?"))</f>
        <v/>
      </c>
      <c r="M42" s="43" t="str">
        <f aca="false">IF($G42="","",IFERROR(INDEX(PrNote,MATCH($G42&amp;"|"&amp;$B$5,PrKey,0)),""))</f>
        <v/>
      </c>
      <c r="N42" s="44"/>
      <c r="O42" s="45"/>
      <c r="P42" s="35" t="str">
        <f aca="false">IF(OR($B42="",$U42=""),"",IF($U42=0,0,ROUND(($U42*($V42+$W42)+TimeSetup)/60,0)))</f>
        <v/>
      </c>
      <c r="Q42" s="2"/>
      <c r="R42" s="2" t="str">
        <f aca="false">IF($B42="","",IFERROR(INDEX(Ex1RM,MATCH($B42,ExName,0)),""))</f>
        <v/>
      </c>
      <c r="S42" s="2" t="str">
        <f aca="false">IF($G42="","",IFERROR(INDEX(PrMin,MATCH($G42&amp;"|"&amp;$B$5,PrKey,0)),""))</f>
        <v/>
      </c>
      <c r="T42" s="2" t="str">
        <f aca="false">IF($G42="","",IFERROR(INDEX(PrMax,MATCH($G42&amp;"|"&amp;$B$5,PrKey,0)),""))</f>
        <v/>
      </c>
      <c r="U42" s="2" t="str">
        <f aca="false">IF($G42="","",IFERROR(INDEX(PrSetsN,MATCH($G42&amp;"|"&amp;$B$5,PrKey,0)),""))</f>
        <v/>
      </c>
      <c r="V42" s="2" t="str">
        <f aca="false">IF($G42="","",IFERROR(INDEX(PrWorkS,MATCH($G42&amp;"|"&amp;$B$5,PrKey,0)),""))</f>
        <v/>
      </c>
      <c r="W42" s="2" t="str">
        <f aca="false">IF($G42="","",IFERROR(INDEX(PrRestS,MATCH($G42&amp;"|"&amp;$B$5,PrKey,0)),""))</f>
        <v/>
      </c>
      <c r="X42" s="2"/>
      <c r="Y42" s="2" t="n">
        <f aca="false">IF(OR(INDEX(WuTrigger,31)="Always",COUNTIF($D$30:$D$51,INDEX(WuTrigger,31))&gt;0,COUNTIF($E$30:$E$51,INDEX(WuTrigger,31))&gt;0),1,0)</f>
        <v>0</v>
      </c>
      <c r="Z42" s="2" t="n">
        <f aca="false">INDEX(WuPriority,31)*1000+31</f>
        <v>3031</v>
      </c>
      <c r="AA42" s="2" t="str">
        <f aca="false">IF($Y42=0,"",SUMIFS(WuMin,$Y$12:$Y$60,1,$Z$12:$Z$60,"&lt;="&amp;$Z42))</f>
        <v/>
      </c>
      <c r="AB42" s="2" t="n">
        <f aca="false">IF(AND($Y42=1,$AA42&lt;=$B$6),1,0)</f>
        <v>0</v>
      </c>
      <c r="AC42" s="2" t="n">
        <f aca="false">INDEX(WuPhaseN,31)*1000+31</f>
        <v>1031</v>
      </c>
      <c r="AD42" s="2" t="str">
        <f aca="false">IF($AB42=0,"",COUNTIFS($AB$12:$AB$60,1,$AC$12:$AC$60,"&lt;"&amp;$AC42)+1)</f>
        <v/>
      </c>
      <c r="AE42" s="2"/>
      <c r="AF42" s="2" t="n">
        <f aca="false">IF(OR(INDEX(MoTarget,31)="Always",COUNTIF($E$30:$E$51,INDEX(MoTarget,31))&gt;0,COUNTIF($F$30:$F$51,"*"&amp;INDEX(MoTarget,31)&amp;"*")&gt;0),1,0)</f>
        <v>0</v>
      </c>
      <c r="AG42" s="2" t="n">
        <f aca="false">INDEX(MoPriority,31)*1000+31</f>
        <v>2031</v>
      </c>
      <c r="AH42" s="2" t="str">
        <f aca="false">IF($AF42=0,"",SUMIFS(MoMin,$AF$12:$AF$54,1,$AG$12:$AG$54,"&lt;="&amp;$AG42))</f>
        <v/>
      </c>
      <c r="AI42" s="2" t="n">
        <f aca="false">IF(AND($AF42=1,$AH42&lt;=$B$7),1,0)</f>
        <v>0</v>
      </c>
      <c r="AJ42" s="2" t="n">
        <f aca="false">INDEX(MoTypeN,31)*1000+31</f>
        <v>3031</v>
      </c>
      <c r="AK42" s="2" t="str">
        <f aca="false">IF($AI42=0,"",COUNTIFS($AI$12:$AI$54,1,$AJ$12:$AJ$54,"&lt;"&amp;$AJ42)+1)</f>
        <v/>
      </c>
    </row>
    <row r="43" customFormat="false" ht="30" hidden="false" customHeight="true" outlineLevel="0" collapsed="false">
      <c r="A43" s="19" t="n">
        <v>14</v>
      </c>
      <c r="B43" s="41"/>
      <c r="C43" s="42" t="str">
        <f aca="false">IF($B43="","",IFERROR(INDEX(ExEquip,MATCH($B43,ExName,0)),"?"))</f>
        <v/>
      </c>
      <c r="D43" s="42" t="str">
        <f aca="false">IF($B43="","",IFERROR(INDEX(ExPattern,MATCH($B43,ExName,0)),"?"))</f>
        <v/>
      </c>
      <c r="E43" s="42" t="str">
        <f aca="false">IF($B43="","",IFERROR(INDEX(ExPrimary,MATCH($B43,ExName,0)),"?"))</f>
        <v/>
      </c>
      <c r="F43" s="43" t="str">
        <f aca="false">IF($B43="","",IFERROR(INDEX(ExSecondary,MATCH($B43,ExName,0)),""))</f>
        <v/>
      </c>
      <c r="G43" s="42" t="str">
        <f aca="false">IF($B43="","",IFERROR(INDEX(ExProfile,MATCH($B43,ExName,0)),"?"))</f>
        <v/>
      </c>
      <c r="H43" s="35" t="str">
        <f aca="false">IF($G43="","",IFERROR(INDEX(PrSets,MATCH($G43&amp;"|"&amp;$B$5,PrKey,0)),"?"))</f>
        <v/>
      </c>
      <c r="I43" s="35" t="str">
        <f aca="false">IF($G43="","",IFERROR(INDEX(PrReps,MATCH($G43&amp;"|"&amp;$B$5,PrKey,0)),"?"))</f>
        <v/>
      </c>
      <c r="J43" s="35" t="str">
        <f aca="false">IF($G43="","",IFERROR(INDEX(PrLoad,MATCH($G43&amp;"|"&amp;$B$5,PrKey,0)),"?"))</f>
        <v/>
      </c>
      <c r="K43" s="35" t="str">
        <f aca="false">IF($B43="","",IF(N($S43)=0,"Bodyweight / RPE",IF(N($R43)=0,"Enter 1RM in library",TEXT(MROUND($R43*$S43,2.5),"0.0")&amp;"–"&amp;TEXT(MROUND($R43*$T43,2.5),"0.0")&amp;" kg")))</f>
        <v/>
      </c>
      <c r="L43" s="35" t="str">
        <f aca="false">IF($G43="","",IFERROR(INDEX(PrRest,MATCH($G43&amp;"|"&amp;$B$5,PrKey,0)),"?"))</f>
        <v/>
      </c>
      <c r="M43" s="43" t="str">
        <f aca="false">IF($G43="","",IFERROR(INDEX(PrNote,MATCH($G43&amp;"|"&amp;$B$5,PrKey,0)),""))</f>
        <v/>
      </c>
      <c r="N43" s="44"/>
      <c r="O43" s="45"/>
      <c r="P43" s="35" t="str">
        <f aca="false">IF(OR($B43="",$U43=""),"",IF($U43=0,0,ROUND(($U43*($V43+$W43)+TimeSetup)/60,0)))</f>
        <v/>
      </c>
      <c r="Q43" s="2"/>
      <c r="R43" s="2" t="str">
        <f aca="false">IF($B43="","",IFERROR(INDEX(Ex1RM,MATCH($B43,ExName,0)),""))</f>
        <v/>
      </c>
      <c r="S43" s="2" t="str">
        <f aca="false">IF($G43="","",IFERROR(INDEX(PrMin,MATCH($G43&amp;"|"&amp;$B$5,PrKey,0)),""))</f>
        <v/>
      </c>
      <c r="T43" s="2" t="str">
        <f aca="false">IF($G43="","",IFERROR(INDEX(PrMax,MATCH($G43&amp;"|"&amp;$B$5,PrKey,0)),""))</f>
        <v/>
      </c>
      <c r="U43" s="2" t="str">
        <f aca="false">IF($G43="","",IFERROR(INDEX(PrSetsN,MATCH($G43&amp;"|"&amp;$B$5,PrKey,0)),""))</f>
        <v/>
      </c>
      <c r="V43" s="2" t="str">
        <f aca="false">IF($G43="","",IFERROR(INDEX(PrWorkS,MATCH($G43&amp;"|"&amp;$B$5,PrKey,0)),""))</f>
        <v/>
      </c>
      <c r="W43" s="2" t="str">
        <f aca="false">IF($G43="","",IFERROR(INDEX(PrRestS,MATCH($G43&amp;"|"&amp;$B$5,PrKey,0)),""))</f>
        <v/>
      </c>
      <c r="X43" s="2"/>
      <c r="Y43" s="2" t="n">
        <f aca="false">IF(OR(INDEX(WuTrigger,32)="Always",COUNTIF($D$30:$D$51,INDEX(WuTrigger,32))&gt;0,COUNTIF($E$30:$E$51,INDEX(WuTrigger,32))&gt;0),1,0)</f>
        <v>0</v>
      </c>
      <c r="Z43" s="2" t="n">
        <f aca="false">INDEX(WuPriority,32)*1000+32</f>
        <v>3032</v>
      </c>
      <c r="AA43" s="2" t="str">
        <f aca="false">IF($Y43=0,"",SUMIFS(WuMin,$Y$12:$Y$60,1,$Z$12:$Z$60,"&lt;="&amp;$Z43))</f>
        <v/>
      </c>
      <c r="AB43" s="2" t="n">
        <f aca="false">IF(AND($Y43=1,$AA43&lt;=$B$6),1,0)</f>
        <v>0</v>
      </c>
      <c r="AC43" s="2" t="n">
        <f aca="false">INDEX(WuPhaseN,32)*1000+32</f>
        <v>3032</v>
      </c>
      <c r="AD43" s="2" t="str">
        <f aca="false">IF($AB43=0,"",COUNTIFS($AB$12:$AB$60,1,$AC$12:$AC$60,"&lt;"&amp;$AC43)+1)</f>
        <v/>
      </c>
      <c r="AE43" s="2"/>
      <c r="AF43" s="2" t="n">
        <f aca="false">IF(OR(INDEX(MoTarget,32)="Always",COUNTIF($E$30:$E$51,INDEX(MoTarget,32))&gt;0,COUNTIF($F$30:$F$51,"*"&amp;INDEX(MoTarget,32)&amp;"*")&gt;0),1,0)</f>
        <v>0</v>
      </c>
      <c r="AG43" s="2" t="n">
        <f aca="false">INDEX(MoPriority,32)*1000+32</f>
        <v>3032</v>
      </c>
      <c r="AH43" s="2" t="str">
        <f aca="false">IF($AF43=0,"",SUMIFS(MoMin,$AF$12:$AF$54,1,$AG$12:$AG$54,"&lt;="&amp;$AG43))</f>
        <v/>
      </c>
      <c r="AI43" s="2" t="n">
        <f aca="false">IF(AND($AF43=1,$AH43&lt;=$B$7),1,0)</f>
        <v>0</v>
      </c>
      <c r="AJ43" s="2" t="n">
        <f aca="false">INDEX(MoTypeN,32)*1000+32</f>
        <v>3032</v>
      </c>
      <c r="AK43" s="2" t="str">
        <f aca="false">IF($AI43=0,"",COUNTIFS($AI$12:$AI$54,1,$AJ$12:$AJ$54,"&lt;"&amp;$AJ43)+1)</f>
        <v/>
      </c>
    </row>
    <row r="44" customFormat="false" ht="30" hidden="false" customHeight="true" outlineLevel="0" collapsed="false">
      <c r="A44" s="19" t="n">
        <v>15</v>
      </c>
      <c r="B44" s="41"/>
      <c r="C44" s="42" t="str">
        <f aca="false">IF($B44="","",IFERROR(INDEX(ExEquip,MATCH($B44,ExName,0)),"?"))</f>
        <v/>
      </c>
      <c r="D44" s="42" t="str">
        <f aca="false">IF($B44="","",IFERROR(INDEX(ExPattern,MATCH($B44,ExName,0)),"?"))</f>
        <v/>
      </c>
      <c r="E44" s="42" t="str">
        <f aca="false">IF($B44="","",IFERROR(INDEX(ExPrimary,MATCH($B44,ExName,0)),"?"))</f>
        <v/>
      </c>
      <c r="F44" s="43" t="str">
        <f aca="false">IF($B44="","",IFERROR(INDEX(ExSecondary,MATCH($B44,ExName,0)),""))</f>
        <v/>
      </c>
      <c r="G44" s="42" t="str">
        <f aca="false">IF($B44="","",IFERROR(INDEX(ExProfile,MATCH($B44,ExName,0)),"?"))</f>
        <v/>
      </c>
      <c r="H44" s="35" t="str">
        <f aca="false">IF($G44="","",IFERROR(INDEX(PrSets,MATCH($G44&amp;"|"&amp;$B$5,PrKey,0)),"?"))</f>
        <v/>
      </c>
      <c r="I44" s="35" t="str">
        <f aca="false">IF($G44="","",IFERROR(INDEX(PrReps,MATCH($G44&amp;"|"&amp;$B$5,PrKey,0)),"?"))</f>
        <v/>
      </c>
      <c r="J44" s="35" t="str">
        <f aca="false">IF($G44="","",IFERROR(INDEX(PrLoad,MATCH($G44&amp;"|"&amp;$B$5,PrKey,0)),"?"))</f>
        <v/>
      </c>
      <c r="K44" s="35" t="str">
        <f aca="false">IF($B44="","",IF(N($S44)=0,"Bodyweight / RPE",IF(N($R44)=0,"Enter 1RM in library",TEXT(MROUND($R44*$S44,2.5),"0.0")&amp;"–"&amp;TEXT(MROUND($R44*$T44,2.5),"0.0")&amp;" kg")))</f>
        <v/>
      </c>
      <c r="L44" s="35" t="str">
        <f aca="false">IF($G44="","",IFERROR(INDEX(PrRest,MATCH($G44&amp;"|"&amp;$B$5,PrKey,0)),"?"))</f>
        <v/>
      </c>
      <c r="M44" s="43" t="str">
        <f aca="false">IF($G44="","",IFERROR(INDEX(PrNote,MATCH($G44&amp;"|"&amp;$B$5,PrKey,0)),""))</f>
        <v/>
      </c>
      <c r="N44" s="44"/>
      <c r="O44" s="45"/>
      <c r="P44" s="35" t="str">
        <f aca="false">IF(OR($B44="",$U44=""),"",IF($U44=0,0,ROUND(($U44*($V44+$W44)+TimeSetup)/60,0)))</f>
        <v/>
      </c>
      <c r="Q44" s="2"/>
      <c r="R44" s="2" t="str">
        <f aca="false">IF($B44="","",IFERROR(INDEX(Ex1RM,MATCH($B44,ExName,0)),""))</f>
        <v/>
      </c>
      <c r="S44" s="2" t="str">
        <f aca="false">IF($G44="","",IFERROR(INDEX(PrMin,MATCH($G44&amp;"|"&amp;$B$5,PrKey,0)),""))</f>
        <v/>
      </c>
      <c r="T44" s="2" t="str">
        <f aca="false">IF($G44="","",IFERROR(INDEX(PrMax,MATCH($G44&amp;"|"&amp;$B$5,PrKey,0)),""))</f>
        <v/>
      </c>
      <c r="U44" s="2" t="str">
        <f aca="false">IF($G44="","",IFERROR(INDEX(PrSetsN,MATCH($G44&amp;"|"&amp;$B$5,PrKey,0)),""))</f>
        <v/>
      </c>
      <c r="V44" s="2" t="str">
        <f aca="false">IF($G44="","",IFERROR(INDEX(PrWorkS,MATCH($G44&amp;"|"&amp;$B$5,PrKey,0)),""))</f>
        <v/>
      </c>
      <c r="W44" s="2" t="str">
        <f aca="false">IF($G44="","",IFERROR(INDEX(PrRestS,MATCH($G44&amp;"|"&amp;$B$5,PrKey,0)),""))</f>
        <v/>
      </c>
      <c r="X44" s="2"/>
      <c r="Y44" s="2" t="n">
        <f aca="false">IF(OR(INDEX(WuTrigger,33)="Always",COUNTIF($D$30:$D$51,INDEX(WuTrigger,33))&gt;0,COUNTIF($E$30:$E$51,INDEX(WuTrigger,33))&gt;0),1,0)</f>
        <v>0</v>
      </c>
      <c r="Z44" s="2" t="n">
        <f aca="false">INDEX(WuPriority,33)*1000+33</f>
        <v>4033</v>
      </c>
      <c r="AA44" s="2" t="str">
        <f aca="false">IF($Y44=0,"",SUMIFS(WuMin,$Y$12:$Y$60,1,$Z$12:$Z$60,"&lt;="&amp;$Z44))</f>
        <v/>
      </c>
      <c r="AB44" s="2" t="n">
        <f aca="false">IF(AND($Y44=1,$AA44&lt;=$B$6),1,0)</f>
        <v>0</v>
      </c>
      <c r="AC44" s="2" t="n">
        <f aca="false">INDEX(WuPhaseN,33)*1000+33</f>
        <v>3033</v>
      </c>
      <c r="AD44" s="2" t="str">
        <f aca="false">IF($AB44=0,"",COUNTIFS($AB$12:$AB$60,1,$AC$12:$AC$60,"&lt;"&amp;$AC44)+1)</f>
        <v/>
      </c>
      <c r="AE44" s="2"/>
      <c r="AF44" s="2" t="n">
        <f aca="false">IF(OR(INDEX(MoTarget,33)="Always",COUNTIF($E$30:$E$51,INDEX(MoTarget,33))&gt;0,COUNTIF($F$30:$F$51,"*"&amp;INDEX(MoTarget,33)&amp;"*")&gt;0),1,0)</f>
        <v>0</v>
      </c>
      <c r="AG44" s="2" t="n">
        <f aca="false">INDEX(MoPriority,33)*1000+33</f>
        <v>4033</v>
      </c>
      <c r="AH44" s="2" t="str">
        <f aca="false">IF($AF44=0,"",SUMIFS(MoMin,$AF$12:$AF$54,1,$AG$12:$AG$54,"&lt;="&amp;$AG44))</f>
        <v/>
      </c>
      <c r="AI44" s="2" t="n">
        <f aca="false">IF(AND($AF44=1,$AH44&lt;=$B$7),1,0)</f>
        <v>0</v>
      </c>
      <c r="AJ44" s="2" t="n">
        <f aca="false">INDEX(MoTypeN,33)*1000+33</f>
        <v>3033</v>
      </c>
      <c r="AK44" s="2" t="str">
        <f aca="false">IF($AI44=0,"",COUNTIFS($AI$12:$AI$54,1,$AJ$12:$AJ$54,"&lt;"&amp;$AJ44)+1)</f>
        <v/>
      </c>
    </row>
    <row r="45" customFormat="false" ht="30" hidden="false" customHeight="true" outlineLevel="0" collapsed="false">
      <c r="A45" s="19" t="n">
        <v>16</v>
      </c>
      <c r="B45" s="41"/>
      <c r="C45" s="42" t="str">
        <f aca="false">IF($B45="","",IFERROR(INDEX(ExEquip,MATCH($B45,ExName,0)),"?"))</f>
        <v/>
      </c>
      <c r="D45" s="42" t="str">
        <f aca="false">IF($B45="","",IFERROR(INDEX(ExPattern,MATCH($B45,ExName,0)),"?"))</f>
        <v/>
      </c>
      <c r="E45" s="42" t="str">
        <f aca="false">IF($B45="","",IFERROR(INDEX(ExPrimary,MATCH($B45,ExName,0)),"?"))</f>
        <v/>
      </c>
      <c r="F45" s="43" t="str">
        <f aca="false">IF($B45="","",IFERROR(INDEX(ExSecondary,MATCH($B45,ExName,0)),""))</f>
        <v/>
      </c>
      <c r="G45" s="42" t="str">
        <f aca="false">IF($B45="","",IFERROR(INDEX(ExProfile,MATCH($B45,ExName,0)),"?"))</f>
        <v/>
      </c>
      <c r="H45" s="35" t="str">
        <f aca="false">IF($G45="","",IFERROR(INDEX(PrSets,MATCH($G45&amp;"|"&amp;$B$5,PrKey,0)),"?"))</f>
        <v/>
      </c>
      <c r="I45" s="35" t="str">
        <f aca="false">IF($G45="","",IFERROR(INDEX(PrReps,MATCH($G45&amp;"|"&amp;$B$5,PrKey,0)),"?"))</f>
        <v/>
      </c>
      <c r="J45" s="35" t="str">
        <f aca="false">IF($G45="","",IFERROR(INDEX(PrLoad,MATCH($G45&amp;"|"&amp;$B$5,PrKey,0)),"?"))</f>
        <v/>
      </c>
      <c r="K45" s="35" t="str">
        <f aca="false">IF($B45="","",IF(N($S45)=0,"Bodyweight / RPE",IF(N($R45)=0,"Enter 1RM in library",TEXT(MROUND($R45*$S45,2.5),"0.0")&amp;"–"&amp;TEXT(MROUND($R45*$T45,2.5),"0.0")&amp;" kg")))</f>
        <v/>
      </c>
      <c r="L45" s="35" t="str">
        <f aca="false">IF($G45="","",IFERROR(INDEX(PrRest,MATCH($G45&amp;"|"&amp;$B$5,PrKey,0)),"?"))</f>
        <v/>
      </c>
      <c r="M45" s="43" t="str">
        <f aca="false">IF($G45="","",IFERROR(INDEX(PrNote,MATCH($G45&amp;"|"&amp;$B$5,PrKey,0)),""))</f>
        <v/>
      </c>
      <c r="N45" s="44"/>
      <c r="O45" s="45"/>
      <c r="P45" s="35" t="str">
        <f aca="false">IF(OR($B45="",$U45=""),"",IF($U45=0,0,ROUND(($U45*($V45+$W45)+TimeSetup)/60,0)))</f>
        <v/>
      </c>
      <c r="Q45" s="2"/>
      <c r="R45" s="2" t="str">
        <f aca="false">IF($B45="","",IFERROR(INDEX(Ex1RM,MATCH($B45,ExName,0)),""))</f>
        <v/>
      </c>
      <c r="S45" s="2" t="str">
        <f aca="false">IF($G45="","",IFERROR(INDEX(PrMin,MATCH($G45&amp;"|"&amp;$B$5,PrKey,0)),""))</f>
        <v/>
      </c>
      <c r="T45" s="2" t="str">
        <f aca="false">IF($G45="","",IFERROR(INDEX(PrMax,MATCH($G45&amp;"|"&amp;$B$5,PrKey,0)),""))</f>
        <v/>
      </c>
      <c r="U45" s="2" t="str">
        <f aca="false">IF($G45="","",IFERROR(INDEX(PrSetsN,MATCH($G45&amp;"|"&amp;$B$5,PrKey,0)),""))</f>
        <v/>
      </c>
      <c r="V45" s="2" t="str">
        <f aca="false">IF($G45="","",IFERROR(INDEX(PrWorkS,MATCH($G45&amp;"|"&amp;$B$5,PrKey,0)),""))</f>
        <v/>
      </c>
      <c r="W45" s="2" t="str">
        <f aca="false">IF($G45="","",IFERROR(INDEX(PrRestS,MATCH($G45&amp;"|"&amp;$B$5,PrKey,0)),""))</f>
        <v/>
      </c>
      <c r="X45" s="2"/>
      <c r="Y45" s="2" t="n">
        <f aca="false">IF(OR(INDEX(WuTrigger,34)="Always",COUNTIF($D$30:$D$51,INDEX(WuTrigger,34))&gt;0,COUNTIF($E$30:$E$51,INDEX(WuTrigger,34))&gt;0),1,0)</f>
        <v>0</v>
      </c>
      <c r="Z45" s="2" t="n">
        <f aca="false">INDEX(WuPriority,34)*1000+34</f>
        <v>4034</v>
      </c>
      <c r="AA45" s="2" t="str">
        <f aca="false">IF($Y45=0,"",SUMIFS(WuMin,$Y$12:$Y$60,1,$Z$12:$Z$60,"&lt;="&amp;$Z45))</f>
        <v/>
      </c>
      <c r="AB45" s="2" t="n">
        <f aca="false">IF(AND($Y45=1,$AA45&lt;=$B$6),1,0)</f>
        <v>0</v>
      </c>
      <c r="AC45" s="2" t="n">
        <f aca="false">INDEX(WuPhaseN,34)*1000+34</f>
        <v>3034</v>
      </c>
      <c r="AD45" s="2" t="str">
        <f aca="false">IF($AB45=0,"",COUNTIFS($AB$12:$AB$60,1,$AC$12:$AC$60,"&lt;"&amp;$AC45)+1)</f>
        <v/>
      </c>
      <c r="AE45" s="2"/>
      <c r="AF45" s="2" t="n">
        <f aca="false">IF(OR(INDEX(MoTarget,34)="Always",COUNTIF($E$30:$E$51,INDEX(MoTarget,34))&gt;0,COUNTIF($F$30:$F$51,"*"&amp;INDEX(MoTarget,34)&amp;"*")&gt;0),1,0)</f>
        <v>0</v>
      </c>
      <c r="AG45" s="2" t="n">
        <f aca="false">INDEX(MoPriority,34)*1000+34</f>
        <v>3034</v>
      </c>
      <c r="AH45" s="2" t="str">
        <f aca="false">IF($AF45=0,"",SUMIFS(MoMin,$AF$12:$AF$54,1,$AG$12:$AG$54,"&lt;="&amp;$AG45))</f>
        <v/>
      </c>
      <c r="AI45" s="2" t="n">
        <f aca="false">IF(AND($AF45=1,$AH45&lt;=$B$7),1,0)</f>
        <v>0</v>
      </c>
      <c r="AJ45" s="2" t="n">
        <f aca="false">INDEX(MoTypeN,34)*1000+34</f>
        <v>3034</v>
      </c>
      <c r="AK45" s="2" t="str">
        <f aca="false">IF($AI45=0,"",COUNTIFS($AI$12:$AI$54,1,$AJ$12:$AJ$54,"&lt;"&amp;$AJ45)+1)</f>
        <v/>
      </c>
    </row>
    <row r="46" customFormat="false" ht="30" hidden="false" customHeight="true" outlineLevel="0" collapsed="false">
      <c r="A46" s="19" t="n">
        <v>17</v>
      </c>
      <c r="B46" s="41"/>
      <c r="C46" s="42" t="str">
        <f aca="false">IF($B46="","",IFERROR(INDEX(ExEquip,MATCH($B46,ExName,0)),"?"))</f>
        <v/>
      </c>
      <c r="D46" s="42" t="str">
        <f aca="false">IF($B46="","",IFERROR(INDEX(ExPattern,MATCH($B46,ExName,0)),"?"))</f>
        <v/>
      </c>
      <c r="E46" s="42" t="str">
        <f aca="false">IF($B46="","",IFERROR(INDEX(ExPrimary,MATCH($B46,ExName,0)),"?"))</f>
        <v/>
      </c>
      <c r="F46" s="43" t="str">
        <f aca="false">IF($B46="","",IFERROR(INDEX(ExSecondary,MATCH($B46,ExName,0)),""))</f>
        <v/>
      </c>
      <c r="G46" s="42" t="str">
        <f aca="false">IF($B46="","",IFERROR(INDEX(ExProfile,MATCH($B46,ExName,0)),"?"))</f>
        <v/>
      </c>
      <c r="H46" s="35" t="str">
        <f aca="false">IF($G46="","",IFERROR(INDEX(PrSets,MATCH($G46&amp;"|"&amp;$B$5,PrKey,0)),"?"))</f>
        <v/>
      </c>
      <c r="I46" s="35" t="str">
        <f aca="false">IF($G46="","",IFERROR(INDEX(PrReps,MATCH($G46&amp;"|"&amp;$B$5,PrKey,0)),"?"))</f>
        <v/>
      </c>
      <c r="J46" s="35" t="str">
        <f aca="false">IF($G46="","",IFERROR(INDEX(PrLoad,MATCH($G46&amp;"|"&amp;$B$5,PrKey,0)),"?"))</f>
        <v/>
      </c>
      <c r="K46" s="35" t="str">
        <f aca="false">IF($B46="","",IF(N($S46)=0,"Bodyweight / RPE",IF(N($R46)=0,"Enter 1RM in library",TEXT(MROUND($R46*$S46,2.5),"0.0")&amp;"–"&amp;TEXT(MROUND($R46*$T46,2.5),"0.0")&amp;" kg")))</f>
        <v/>
      </c>
      <c r="L46" s="35" t="str">
        <f aca="false">IF($G46="","",IFERROR(INDEX(PrRest,MATCH($G46&amp;"|"&amp;$B$5,PrKey,0)),"?"))</f>
        <v/>
      </c>
      <c r="M46" s="43" t="str">
        <f aca="false">IF($G46="","",IFERROR(INDEX(PrNote,MATCH($G46&amp;"|"&amp;$B$5,PrKey,0)),""))</f>
        <v/>
      </c>
      <c r="N46" s="44"/>
      <c r="O46" s="45"/>
      <c r="P46" s="35" t="str">
        <f aca="false">IF(OR($B46="",$U46=""),"",IF($U46=0,0,ROUND(($U46*($V46+$W46)+TimeSetup)/60,0)))</f>
        <v/>
      </c>
      <c r="Q46" s="2"/>
      <c r="R46" s="2" t="str">
        <f aca="false">IF($B46="","",IFERROR(INDEX(Ex1RM,MATCH($B46,ExName,0)),""))</f>
        <v/>
      </c>
      <c r="S46" s="2" t="str">
        <f aca="false">IF($G46="","",IFERROR(INDEX(PrMin,MATCH($G46&amp;"|"&amp;$B$5,PrKey,0)),""))</f>
        <v/>
      </c>
      <c r="T46" s="2" t="str">
        <f aca="false">IF($G46="","",IFERROR(INDEX(PrMax,MATCH($G46&amp;"|"&amp;$B$5,PrKey,0)),""))</f>
        <v/>
      </c>
      <c r="U46" s="2" t="str">
        <f aca="false">IF($G46="","",IFERROR(INDEX(PrSetsN,MATCH($G46&amp;"|"&amp;$B$5,PrKey,0)),""))</f>
        <v/>
      </c>
      <c r="V46" s="2" t="str">
        <f aca="false">IF($G46="","",IFERROR(INDEX(PrWorkS,MATCH($G46&amp;"|"&amp;$B$5,PrKey,0)),""))</f>
        <v/>
      </c>
      <c r="W46" s="2" t="str">
        <f aca="false">IF($G46="","",IFERROR(INDEX(PrRestS,MATCH($G46&amp;"|"&amp;$B$5,PrKey,0)),""))</f>
        <v/>
      </c>
      <c r="X46" s="2"/>
      <c r="Y46" s="2" t="n">
        <f aca="false">IF(OR(INDEX(WuTrigger,35)="Always",COUNTIF($D$30:$D$51,INDEX(WuTrigger,35))&gt;0,COUNTIF($E$30:$E$51,INDEX(WuTrigger,35))&gt;0),1,0)</f>
        <v>0</v>
      </c>
      <c r="Z46" s="2" t="n">
        <f aca="false">INDEX(WuPriority,35)*1000+35</f>
        <v>5035</v>
      </c>
      <c r="AA46" s="2" t="str">
        <f aca="false">IF($Y46=0,"",SUMIFS(WuMin,$Y$12:$Y$60,1,$Z$12:$Z$60,"&lt;="&amp;$Z46))</f>
        <v/>
      </c>
      <c r="AB46" s="2" t="n">
        <f aca="false">IF(AND($Y46=1,$AA46&lt;=$B$6),1,0)</f>
        <v>0</v>
      </c>
      <c r="AC46" s="2" t="n">
        <f aca="false">INDEX(WuPhaseN,35)*1000+35</f>
        <v>3035</v>
      </c>
      <c r="AD46" s="2" t="str">
        <f aca="false">IF($AB46=0,"",COUNTIFS($AB$12:$AB$60,1,$AC$12:$AC$60,"&lt;"&amp;$AC46)+1)</f>
        <v/>
      </c>
      <c r="AE46" s="2"/>
      <c r="AF46" s="2" t="n">
        <f aca="false">IF(OR(INDEX(MoTarget,35)="Always",COUNTIF($E$30:$E$51,INDEX(MoTarget,35))&gt;0,COUNTIF($F$30:$F$51,"*"&amp;INDEX(MoTarget,35)&amp;"*")&gt;0),1,0)</f>
        <v>0</v>
      </c>
      <c r="AG46" s="2" t="n">
        <f aca="false">INDEX(MoPriority,35)*1000+35</f>
        <v>2035</v>
      </c>
      <c r="AH46" s="2" t="str">
        <f aca="false">IF($AF46=0,"",SUMIFS(MoMin,$AF$12:$AF$54,1,$AG$12:$AG$54,"&lt;="&amp;$AG46))</f>
        <v/>
      </c>
      <c r="AI46" s="2" t="n">
        <f aca="false">IF(AND($AF46=1,$AH46&lt;=$B$7),1,0)</f>
        <v>0</v>
      </c>
      <c r="AJ46" s="2" t="n">
        <f aca="false">INDEX(MoTypeN,35)*1000+35</f>
        <v>3035</v>
      </c>
      <c r="AK46" s="2" t="str">
        <f aca="false">IF($AI46=0,"",COUNTIFS($AI$12:$AI$54,1,$AJ$12:$AJ$54,"&lt;"&amp;$AJ46)+1)</f>
        <v/>
      </c>
    </row>
    <row r="47" customFormat="false" ht="30" hidden="false" customHeight="true" outlineLevel="0" collapsed="false">
      <c r="A47" s="19" t="n">
        <v>18</v>
      </c>
      <c r="B47" s="41"/>
      <c r="C47" s="42" t="str">
        <f aca="false">IF($B47="","",IFERROR(INDEX(ExEquip,MATCH($B47,ExName,0)),"?"))</f>
        <v/>
      </c>
      <c r="D47" s="42" t="str">
        <f aca="false">IF($B47="","",IFERROR(INDEX(ExPattern,MATCH($B47,ExName,0)),"?"))</f>
        <v/>
      </c>
      <c r="E47" s="42" t="str">
        <f aca="false">IF($B47="","",IFERROR(INDEX(ExPrimary,MATCH($B47,ExName,0)),"?"))</f>
        <v/>
      </c>
      <c r="F47" s="43" t="str">
        <f aca="false">IF($B47="","",IFERROR(INDEX(ExSecondary,MATCH($B47,ExName,0)),""))</f>
        <v/>
      </c>
      <c r="G47" s="42" t="str">
        <f aca="false">IF($B47="","",IFERROR(INDEX(ExProfile,MATCH($B47,ExName,0)),"?"))</f>
        <v/>
      </c>
      <c r="H47" s="35" t="str">
        <f aca="false">IF($G47="","",IFERROR(INDEX(PrSets,MATCH($G47&amp;"|"&amp;$B$5,PrKey,0)),"?"))</f>
        <v/>
      </c>
      <c r="I47" s="35" t="str">
        <f aca="false">IF($G47="","",IFERROR(INDEX(PrReps,MATCH($G47&amp;"|"&amp;$B$5,PrKey,0)),"?"))</f>
        <v/>
      </c>
      <c r="J47" s="35" t="str">
        <f aca="false">IF($G47="","",IFERROR(INDEX(PrLoad,MATCH($G47&amp;"|"&amp;$B$5,PrKey,0)),"?"))</f>
        <v/>
      </c>
      <c r="K47" s="35" t="str">
        <f aca="false">IF($B47="","",IF(N($S47)=0,"Bodyweight / RPE",IF(N($R47)=0,"Enter 1RM in library",TEXT(MROUND($R47*$S47,2.5),"0.0")&amp;"–"&amp;TEXT(MROUND($R47*$T47,2.5),"0.0")&amp;" kg")))</f>
        <v/>
      </c>
      <c r="L47" s="35" t="str">
        <f aca="false">IF($G47="","",IFERROR(INDEX(PrRest,MATCH($G47&amp;"|"&amp;$B$5,PrKey,0)),"?"))</f>
        <v/>
      </c>
      <c r="M47" s="43" t="str">
        <f aca="false">IF($G47="","",IFERROR(INDEX(PrNote,MATCH($G47&amp;"|"&amp;$B$5,PrKey,0)),""))</f>
        <v/>
      </c>
      <c r="N47" s="44"/>
      <c r="O47" s="45"/>
      <c r="P47" s="35" t="str">
        <f aca="false">IF(OR($B47="",$U47=""),"",IF($U47=0,0,ROUND(($U47*($V47+$W47)+TimeSetup)/60,0)))</f>
        <v/>
      </c>
      <c r="Q47" s="2"/>
      <c r="R47" s="2" t="str">
        <f aca="false">IF($B47="","",IFERROR(INDEX(Ex1RM,MATCH($B47,ExName,0)),""))</f>
        <v/>
      </c>
      <c r="S47" s="2" t="str">
        <f aca="false">IF($G47="","",IFERROR(INDEX(PrMin,MATCH($G47&amp;"|"&amp;$B$5,PrKey,0)),""))</f>
        <v/>
      </c>
      <c r="T47" s="2" t="str">
        <f aca="false">IF($G47="","",IFERROR(INDEX(PrMax,MATCH($G47&amp;"|"&amp;$B$5,PrKey,0)),""))</f>
        <v/>
      </c>
      <c r="U47" s="2" t="str">
        <f aca="false">IF($G47="","",IFERROR(INDEX(PrSetsN,MATCH($G47&amp;"|"&amp;$B$5,PrKey,0)),""))</f>
        <v/>
      </c>
      <c r="V47" s="2" t="str">
        <f aca="false">IF($G47="","",IFERROR(INDEX(PrWorkS,MATCH($G47&amp;"|"&amp;$B$5,PrKey,0)),""))</f>
        <v/>
      </c>
      <c r="W47" s="2" t="str">
        <f aca="false">IF($G47="","",IFERROR(INDEX(PrRestS,MATCH($G47&amp;"|"&amp;$B$5,PrKey,0)),""))</f>
        <v/>
      </c>
      <c r="X47" s="2"/>
      <c r="Y47" s="2" t="n">
        <f aca="false">IF(OR(INDEX(WuTrigger,36)="Always",COUNTIF($D$30:$D$51,INDEX(WuTrigger,36))&gt;0,COUNTIF($E$30:$E$51,INDEX(WuTrigger,36))&gt;0),1,0)</f>
        <v>0</v>
      </c>
      <c r="Z47" s="2" t="n">
        <f aca="false">INDEX(WuPriority,36)*1000+36</f>
        <v>4036</v>
      </c>
      <c r="AA47" s="2" t="str">
        <f aca="false">IF($Y47=0,"",SUMIFS(WuMin,$Y$12:$Y$60,1,$Z$12:$Z$60,"&lt;="&amp;$Z47))</f>
        <v/>
      </c>
      <c r="AB47" s="2" t="n">
        <f aca="false">IF(AND($Y47=1,$AA47&lt;=$B$6),1,0)</f>
        <v>0</v>
      </c>
      <c r="AC47" s="2" t="n">
        <f aca="false">INDEX(WuPhaseN,36)*1000+36</f>
        <v>3036</v>
      </c>
      <c r="AD47" s="2" t="str">
        <f aca="false">IF($AB47=0,"",COUNTIFS($AB$12:$AB$60,1,$AC$12:$AC$60,"&lt;"&amp;$AC47)+1)</f>
        <v/>
      </c>
      <c r="AE47" s="2"/>
      <c r="AF47" s="2" t="n">
        <f aca="false">IF(OR(INDEX(MoTarget,36)="Always",COUNTIF($E$30:$E$51,INDEX(MoTarget,36))&gt;0,COUNTIF($F$30:$F$51,"*"&amp;INDEX(MoTarget,36)&amp;"*")&gt;0),1,0)</f>
        <v>0</v>
      </c>
      <c r="AG47" s="2" t="n">
        <f aca="false">INDEX(MoPriority,36)*1000+36</f>
        <v>3036</v>
      </c>
      <c r="AH47" s="2" t="str">
        <f aca="false">IF($AF47=0,"",SUMIFS(MoMin,$AF$12:$AF$54,1,$AG$12:$AG$54,"&lt;="&amp;$AG47))</f>
        <v/>
      </c>
      <c r="AI47" s="2" t="n">
        <f aca="false">IF(AND($AF47=1,$AH47&lt;=$B$7),1,0)</f>
        <v>0</v>
      </c>
      <c r="AJ47" s="2" t="n">
        <f aca="false">INDEX(MoTypeN,36)*1000+36</f>
        <v>3036</v>
      </c>
      <c r="AK47" s="2" t="str">
        <f aca="false">IF($AI47=0,"",COUNTIFS($AI$12:$AI$54,1,$AJ$12:$AJ$54,"&lt;"&amp;$AJ47)+1)</f>
        <v/>
      </c>
    </row>
    <row r="48" customFormat="false" ht="30" hidden="false" customHeight="true" outlineLevel="0" collapsed="false">
      <c r="A48" s="19" t="n">
        <v>19</v>
      </c>
      <c r="B48" s="41"/>
      <c r="C48" s="42" t="str">
        <f aca="false">IF($B48="","",IFERROR(INDEX(ExEquip,MATCH($B48,ExName,0)),"?"))</f>
        <v/>
      </c>
      <c r="D48" s="42" t="str">
        <f aca="false">IF($B48="","",IFERROR(INDEX(ExPattern,MATCH($B48,ExName,0)),"?"))</f>
        <v/>
      </c>
      <c r="E48" s="42" t="str">
        <f aca="false">IF($B48="","",IFERROR(INDEX(ExPrimary,MATCH($B48,ExName,0)),"?"))</f>
        <v/>
      </c>
      <c r="F48" s="43" t="str">
        <f aca="false">IF($B48="","",IFERROR(INDEX(ExSecondary,MATCH($B48,ExName,0)),""))</f>
        <v/>
      </c>
      <c r="G48" s="42" t="str">
        <f aca="false">IF($B48="","",IFERROR(INDEX(ExProfile,MATCH($B48,ExName,0)),"?"))</f>
        <v/>
      </c>
      <c r="H48" s="35" t="str">
        <f aca="false">IF($G48="","",IFERROR(INDEX(PrSets,MATCH($G48&amp;"|"&amp;$B$5,PrKey,0)),"?"))</f>
        <v/>
      </c>
      <c r="I48" s="35" t="str">
        <f aca="false">IF($G48="","",IFERROR(INDEX(PrReps,MATCH($G48&amp;"|"&amp;$B$5,PrKey,0)),"?"))</f>
        <v/>
      </c>
      <c r="J48" s="35" t="str">
        <f aca="false">IF($G48="","",IFERROR(INDEX(PrLoad,MATCH($G48&amp;"|"&amp;$B$5,PrKey,0)),"?"))</f>
        <v/>
      </c>
      <c r="K48" s="35" t="str">
        <f aca="false">IF($B48="","",IF(N($S48)=0,"Bodyweight / RPE",IF(N($R48)=0,"Enter 1RM in library",TEXT(MROUND($R48*$S48,2.5),"0.0")&amp;"–"&amp;TEXT(MROUND($R48*$T48,2.5),"0.0")&amp;" kg")))</f>
        <v/>
      </c>
      <c r="L48" s="35" t="str">
        <f aca="false">IF($G48="","",IFERROR(INDEX(PrRest,MATCH($G48&amp;"|"&amp;$B$5,PrKey,0)),"?"))</f>
        <v/>
      </c>
      <c r="M48" s="43" t="str">
        <f aca="false">IF($G48="","",IFERROR(INDEX(PrNote,MATCH($G48&amp;"|"&amp;$B$5,PrKey,0)),""))</f>
        <v/>
      </c>
      <c r="N48" s="44"/>
      <c r="O48" s="45"/>
      <c r="P48" s="35" t="str">
        <f aca="false">IF(OR($B48="",$U48=""),"",IF($U48=0,0,ROUND(($U48*($V48+$W48)+TimeSetup)/60,0)))</f>
        <v/>
      </c>
      <c r="Q48" s="2"/>
      <c r="R48" s="2" t="str">
        <f aca="false">IF($B48="","",IFERROR(INDEX(Ex1RM,MATCH($B48,ExName,0)),""))</f>
        <v/>
      </c>
      <c r="S48" s="2" t="str">
        <f aca="false">IF($G48="","",IFERROR(INDEX(PrMin,MATCH($G48&amp;"|"&amp;$B$5,PrKey,0)),""))</f>
        <v/>
      </c>
      <c r="T48" s="2" t="str">
        <f aca="false">IF($G48="","",IFERROR(INDEX(PrMax,MATCH($G48&amp;"|"&amp;$B$5,PrKey,0)),""))</f>
        <v/>
      </c>
      <c r="U48" s="2" t="str">
        <f aca="false">IF($G48="","",IFERROR(INDEX(PrSetsN,MATCH($G48&amp;"|"&amp;$B$5,PrKey,0)),""))</f>
        <v/>
      </c>
      <c r="V48" s="2" t="str">
        <f aca="false">IF($G48="","",IFERROR(INDEX(PrWorkS,MATCH($G48&amp;"|"&amp;$B$5,PrKey,0)),""))</f>
        <v/>
      </c>
      <c r="W48" s="2" t="str">
        <f aca="false">IF($G48="","",IFERROR(INDEX(PrRestS,MATCH($G48&amp;"|"&amp;$B$5,PrKey,0)),""))</f>
        <v/>
      </c>
      <c r="X48" s="2"/>
      <c r="Y48" s="2" t="n">
        <f aca="false">IF(OR(INDEX(WuTrigger,37)="Always",COUNTIF($D$30:$D$51,INDEX(WuTrigger,37))&gt;0,COUNTIF($E$30:$E$51,INDEX(WuTrigger,37))&gt;0),1,0)</f>
        <v>0</v>
      </c>
      <c r="Z48" s="2" t="n">
        <f aca="false">INDEX(WuPriority,37)*1000+37</f>
        <v>4037</v>
      </c>
      <c r="AA48" s="2" t="str">
        <f aca="false">IF($Y48=0,"",SUMIFS(WuMin,$Y$12:$Y$60,1,$Z$12:$Z$60,"&lt;="&amp;$Z48))</f>
        <v/>
      </c>
      <c r="AB48" s="2" t="n">
        <f aca="false">IF(AND($Y48=1,$AA48&lt;=$B$6),1,0)</f>
        <v>0</v>
      </c>
      <c r="AC48" s="2" t="n">
        <f aca="false">INDEX(WuPhaseN,37)*1000+37</f>
        <v>4037</v>
      </c>
      <c r="AD48" s="2" t="str">
        <f aca="false">IF($AB48=0,"",COUNTIFS($AB$12:$AB$60,1,$AC$12:$AC$60,"&lt;"&amp;$AC48)+1)</f>
        <v/>
      </c>
      <c r="AE48" s="2"/>
      <c r="AF48" s="2" t="n">
        <f aca="false">IF(OR(INDEX(MoTarget,37)="Always",COUNTIF($E$30:$E$51,INDEX(MoTarget,37))&gt;0,COUNTIF($F$30:$F$51,"*"&amp;INDEX(MoTarget,37)&amp;"*")&gt;0),1,0)</f>
        <v>0</v>
      </c>
      <c r="AG48" s="2" t="n">
        <f aca="false">INDEX(MoPriority,37)*1000+37</f>
        <v>4037</v>
      </c>
      <c r="AH48" s="2" t="str">
        <f aca="false">IF($AF48=0,"",SUMIFS(MoMin,$AF$12:$AF$54,1,$AG$12:$AG$54,"&lt;="&amp;$AG48))</f>
        <v/>
      </c>
      <c r="AI48" s="2" t="n">
        <f aca="false">IF(AND($AF48=1,$AH48&lt;=$B$7),1,0)</f>
        <v>0</v>
      </c>
      <c r="AJ48" s="2" t="n">
        <f aca="false">INDEX(MoTypeN,37)*1000+37</f>
        <v>3037</v>
      </c>
      <c r="AK48" s="2" t="str">
        <f aca="false">IF($AI48=0,"",COUNTIFS($AI$12:$AI$54,1,$AJ$12:$AJ$54,"&lt;"&amp;$AJ48)+1)</f>
        <v/>
      </c>
    </row>
    <row r="49" customFormat="false" ht="30" hidden="false" customHeight="true" outlineLevel="0" collapsed="false">
      <c r="A49" s="19" t="n">
        <v>20</v>
      </c>
      <c r="B49" s="41"/>
      <c r="C49" s="42" t="str">
        <f aca="false">IF($B49="","",IFERROR(INDEX(ExEquip,MATCH($B49,ExName,0)),"?"))</f>
        <v/>
      </c>
      <c r="D49" s="42" t="str">
        <f aca="false">IF($B49="","",IFERROR(INDEX(ExPattern,MATCH($B49,ExName,0)),"?"))</f>
        <v/>
      </c>
      <c r="E49" s="42" t="str">
        <f aca="false">IF($B49="","",IFERROR(INDEX(ExPrimary,MATCH($B49,ExName,0)),"?"))</f>
        <v/>
      </c>
      <c r="F49" s="43" t="str">
        <f aca="false">IF($B49="","",IFERROR(INDEX(ExSecondary,MATCH($B49,ExName,0)),""))</f>
        <v/>
      </c>
      <c r="G49" s="42" t="str">
        <f aca="false">IF($B49="","",IFERROR(INDEX(ExProfile,MATCH($B49,ExName,0)),"?"))</f>
        <v/>
      </c>
      <c r="H49" s="35" t="str">
        <f aca="false">IF($G49="","",IFERROR(INDEX(PrSets,MATCH($G49&amp;"|"&amp;$B$5,PrKey,0)),"?"))</f>
        <v/>
      </c>
      <c r="I49" s="35" t="str">
        <f aca="false">IF($G49="","",IFERROR(INDEX(PrReps,MATCH($G49&amp;"|"&amp;$B$5,PrKey,0)),"?"))</f>
        <v/>
      </c>
      <c r="J49" s="35" t="str">
        <f aca="false">IF($G49="","",IFERROR(INDEX(PrLoad,MATCH($G49&amp;"|"&amp;$B$5,PrKey,0)),"?"))</f>
        <v/>
      </c>
      <c r="K49" s="35" t="str">
        <f aca="false">IF($B49="","",IF(N($S49)=0,"Bodyweight / RPE",IF(N($R49)=0,"Enter 1RM in library",TEXT(MROUND($R49*$S49,2.5),"0.0")&amp;"–"&amp;TEXT(MROUND($R49*$T49,2.5),"0.0")&amp;" kg")))</f>
        <v/>
      </c>
      <c r="L49" s="35" t="str">
        <f aca="false">IF($G49="","",IFERROR(INDEX(PrRest,MATCH($G49&amp;"|"&amp;$B$5,PrKey,0)),"?"))</f>
        <v/>
      </c>
      <c r="M49" s="43" t="str">
        <f aca="false">IF($G49="","",IFERROR(INDEX(PrNote,MATCH($G49&amp;"|"&amp;$B$5,PrKey,0)),""))</f>
        <v/>
      </c>
      <c r="N49" s="44"/>
      <c r="O49" s="45"/>
      <c r="P49" s="35" t="str">
        <f aca="false">IF(OR($B49="",$U49=""),"",IF($U49=0,0,ROUND(($U49*($V49+$W49)+TimeSetup)/60,0)))</f>
        <v/>
      </c>
      <c r="Q49" s="2"/>
      <c r="R49" s="2" t="str">
        <f aca="false">IF($B49="","",IFERROR(INDEX(Ex1RM,MATCH($B49,ExName,0)),""))</f>
        <v/>
      </c>
      <c r="S49" s="2" t="str">
        <f aca="false">IF($G49="","",IFERROR(INDEX(PrMin,MATCH($G49&amp;"|"&amp;$B$5,PrKey,0)),""))</f>
        <v/>
      </c>
      <c r="T49" s="2" t="str">
        <f aca="false">IF($G49="","",IFERROR(INDEX(PrMax,MATCH($G49&amp;"|"&amp;$B$5,PrKey,0)),""))</f>
        <v/>
      </c>
      <c r="U49" s="2" t="str">
        <f aca="false">IF($G49="","",IFERROR(INDEX(PrSetsN,MATCH($G49&amp;"|"&amp;$B$5,PrKey,0)),""))</f>
        <v/>
      </c>
      <c r="V49" s="2" t="str">
        <f aca="false">IF($G49="","",IFERROR(INDEX(PrWorkS,MATCH($G49&amp;"|"&amp;$B$5,PrKey,0)),""))</f>
        <v/>
      </c>
      <c r="W49" s="2" t="str">
        <f aca="false">IF($G49="","",IFERROR(INDEX(PrRestS,MATCH($G49&amp;"|"&amp;$B$5,PrKey,0)),""))</f>
        <v/>
      </c>
      <c r="X49" s="2"/>
      <c r="Y49" s="2" t="n">
        <f aca="false">IF(OR(INDEX(WuTrigger,38)="Always",COUNTIF($D$30:$D$51,INDEX(WuTrigger,38))&gt;0,COUNTIF($E$30:$E$51,INDEX(WuTrigger,38))&gt;0),1,0)</f>
        <v>0</v>
      </c>
      <c r="Z49" s="2" t="n">
        <f aca="false">INDEX(WuPriority,38)*1000+38</f>
        <v>6038</v>
      </c>
      <c r="AA49" s="2" t="str">
        <f aca="false">IF($Y49=0,"",SUMIFS(WuMin,$Y$12:$Y$60,1,$Z$12:$Z$60,"&lt;="&amp;$Z49))</f>
        <v/>
      </c>
      <c r="AB49" s="2" t="n">
        <f aca="false">IF(AND($Y49=1,$AA49&lt;=$B$6),1,0)</f>
        <v>0</v>
      </c>
      <c r="AC49" s="2" t="n">
        <f aca="false">INDEX(WuPhaseN,38)*1000+38</f>
        <v>2038</v>
      </c>
      <c r="AD49" s="2" t="str">
        <f aca="false">IF($AB49=0,"",COUNTIFS($AB$12:$AB$60,1,$AC$12:$AC$60,"&lt;"&amp;$AC49)+1)</f>
        <v/>
      </c>
      <c r="AE49" s="2"/>
      <c r="AF49" s="2" t="n">
        <f aca="false">IF(OR(INDEX(MoTarget,38)="Always",COUNTIF($E$30:$E$51,INDEX(MoTarget,38))&gt;0,COUNTIF($F$30:$F$51,"*"&amp;INDEX(MoTarget,38)&amp;"*")&gt;0),1,0)</f>
        <v>0</v>
      </c>
      <c r="AG49" s="2" t="n">
        <f aca="false">INDEX(MoPriority,38)*1000+38</f>
        <v>3038</v>
      </c>
      <c r="AH49" s="2" t="str">
        <f aca="false">IF($AF49=0,"",SUMIFS(MoMin,$AF$12:$AF$54,1,$AG$12:$AG$54,"&lt;="&amp;$AG49))</f>
        <v/>
      </c>
      <c r="AI49" s="2" t="n">
        <f aca="false">IF(AND($AF49=1,$AH49&lt;=$B$7),1,0)</f>
        <v>0</v>
      </c>
      <c r="AJ49" s="2" t="n">
        <f aca="false">INDEX(MoTypeN,38)*1000+38</f>
        <v>3038</v>
      </c>
      <c r="AK49" s="2" t="str">
        <f aca="false">IF($AI49=0,"",COUNTIFS($AI$12:$AI$54,1,$AJ$12:$AJ$54,"&lt;"&amp;$AJ49)+1)</f>
        <v/>
      </c>
    </row>
    <row r="50" customFormat="false" ht="30" hidden="false" customHeight="true" outlineLevel="0" collapsed="false">
      <c r="A50" s="19" t="n">
        <v>21</v>
      </c>
      <c r="B50" s="41"/>
      <c r="C50" s="42" t="str">
        <f aca="false">IF($B50="","",IFERROR(INDEX(ExEquip,MATCH($B50,ExName,0)),"?"))</f>
        <v/>
      </c>
      <c r="D50" s="42" t="str">
        <f aca="false">IF($B50="","",IFERROR(INDEX(ExPattern,MATCH($B50,ExName,0)),"?"))</f>
        <v/>
      </c>
      <c r="E50" s="42" t="str">
        <f aca="false">IF($B50="","",IFERROR(INDEX(ExPrimary,MATCH($B50,ExName,0)),"?"))</f>
        <v/>
      </c>
      <c r="F50" s="43" t="str">
        <f aca="false">IF($B50="","",IFERROR(INDEX(ExSecondary,MATCH($B50,ExName,0)),""))</f>
        <v/>
      </c>
      <c r="G50" s="42" t="str">
        <f aca="false">IF($B50="","",IFERROR(INDEX(ExProfile,MATCH($B50,ExName,0)),"?"))</f>
        <v/>
      </c>
      <c r="H50" s="35" t="str">
        <f aca="false">IF($G50="","",IFERROR(INDEX(PrSets,MATCH($G50&amp;"|"&amp;$B$5,PrKey,0)),"?"))</f>
        <v/>
      </c>
      <c r="I50" s="35" t="str">
        <f aca="false">IF($G50="","",IFERROR(INDEX(PrReps,MATCH($G50&amp;"|"&amp;$B$5,PrKey,0)),"?"))</f>
        <v/>
      </c>
      <c r="J50" s="35" t="str">
        <f aca="false">IF($G50="","",IFERROR(INDEX(PrLoad,MATCH($G50&amp;"|"&amp;$B$5,PrKey,0)),"?"))</f>
        <v/>
      </c>
      <c r="K50" s="35" t="str">
        <f aca="false">IF($B50="","",IF(N($S50)=0,"Bodyweight / RPE",IF(N($R50)=0,"Enter 1RM in library",TEXT(MROUND($R50*$S50,2.5),"0.0")&amp;"–"&amp;TEXT(MROUND($R50*$T50,2.5),"0.0")&amp;" kg")))</f>
        <v/>
      </c>
      <c r="L50" s="35" t="str">
        <f aca="false">IF($G50="","",IFERROR(INDEX(PrRest,MATCH($G50&amp;"|"&amp;$B$5,PrKey,0)),"?"))</f>
        <v/>
      </c>
      <c r="M50" s="43" t="str">
        <f aca="false">IF($G50="","",IFERROR(INDEX(PrNote,MATCH($G50&amp;"|"&amp;$B$5,PrKey,0)),""))</f>
        <v/>
      </c>
      <c r="N50" s="44"/>
      <c r="O50" s="45"/>
      <c r="P50" s="35" t="str">
        <f aca="false">IF(OR($B50="",$U50=""),"",IF($U50=0,0,ROUND(($U50*($V50+$W50)+TimeSetup)/60,0)))</f>
        <v/>
      </c>
      <c r="Q50" s="2"/>
      <c r="R50" s="2" t="str">
        <f aca="false">IF($B50="","",IFERROR(INDEX(Ex1RM,MATCH($B50,ExName,0)),""))</f>
        <v/>
      </c>
      <c r="S50" s="2" t="str">
        <f aca="false">IF($G50="","",IFERROR(INDEX(PrMin,MATCH($G50&amp;"|"&amp;$B$5,PrKey,0)),""))</f>
        <v/>
      </c>
      <c r="T50" s="2" t="str">
        <f aca="false">IF($G50="","",IFERROR(INDEX(PrMax,MATCH($G50&amp;"|"&amp;$B$5,PrKey,0)),""))</f>
        <v/>
      </c>
      <c r="U50" s="2" t="str">
        <f aca="false">IF($G50="","",IFERROR(INDEX(PrSetsN,MATCH($G50&amp;"|"&amp;$B$5,PrKey,0)),""))</f>
        <v/>
      </c>
      <c r="V50" s="2" t="str">
        <f aca="false">IF($G50="","",IFERROR(INDEX(PrWorkS,MATCH($G50&amp;"|"&amp;$B$5,PrKey,0)),""))</f>
        <v/>
      </c>
      <c r="W50" s="2" t="str">
        <f aca="false">IF($G50="","",IFERROR(INDEX(PrRestS,MATCH($G50&amp;"|"&amp;$B$5,PrKey,0)),""))</f>
        <v/>
      </c>
      <c r="X50" s="2"/>
      <c r="Y50" s="2" t="n">
        <f aca="false">IF(OR(INDEX(WuTrigger,39)="Always",COUNTIF($D$30:$D$51,INDEX(WuTrigger,39))&gt;0,COUNTIF($E$30:$E$51,INDEX(WuTrigger,39))&gt;0),1,0)</f>
        <v>0</v>
      </c>
      <c r="Z50" s="2" t="n">
        <f aca="false">INDEX(WuPriority,39)*1000+39</f>
        <v>5039</v>
      </c>
      <c r="AA50" s="2" t="str">
        <f aca="false">IF($Y50=0,"",SUMIFS(WuMin,$Y$12:$Y$60,1,$Z$12:$Z$60,"&lt;="&amp;$Z50))</f>
        <v/>
      </c>
      <c r="AB50" s="2" t="n">
        <f aca="false">IF(AND($Y50=1,$AA50&lt;=$B$6),1,0)</f>
        <v>0</v>
      </c>
      <c r="AC50" s="2" t="n">
        <f aca="false">INDEX(WuPhaseN,39)*1000+39</f>
        <v>3039</v>
      </c>
      <c r="AD50" s="2" t="str">
        <f aca="false">IF($AB50=0,"",COUNTIFS($AB$12:$AB$60,1,$AC$12:$AC$60,"&lt;"&amp;$AC50)+1)</f>
        <v/>
      </c>
      <c r="AE50" s="2"/>
      <c r="AF50" s="2" t="n">
        <f aca="false">IF(OR(INDEX(MoTarget,39)="Always",COUNTIF($E$30:$E$51,INDEX(MoTarget,39))&gt;0,COUNTIF($F$30:$F$51,"*"&amp;INDEX(MoTarget,39)&amp;"*")&gt;0),1,0)</f>
        <v>0</v>
      </c>
      <c r="AG50" s="2" t="n">
        <f aca="false">INDEX(MoPriority,39)*1000+39</f>
        <v>3039</v>
      </c>
      <c r="AH50" s="2" t="str">
        <f aca="false">IF($AF50=0,"",SUMIFS(MoMin,$AF$12:$AF$54,1,$AG$12:$AG$54,"&lt;="&amp;$AG50))</f>
        <v/>
      </c>
      <c r="AI50" s="2" t="n">
        <f aca="false">IF(AND($AF50=1,$AH50&lt;=$B$7),1,0)</f>
        <v>0</v>
      </c>
      <c r="AJ50" s="2" t="n">
        <f aca="false">INDEX(MoTypeN,39)*1000+39</f>
        <v>3039</v>
      </c>
      <c r="AK50" s="2" t="str">
        <f aca="false">IF($AI50=0,"",COUNTIFS($AI$12:$AI$54,1,$AJ$12:$AJ$54,"&lt;"&amp;$AJ50)+1)</f>
        <v/>
      </c>
    </row>
    <row r="51" customFormat="false" ht="30" hidden="false" customHeight="true" outlineLevel="0" collapsed="false">
      <c r="A51" s="19" t="n">
        <v>22</v>
      </c>
      <c r="B51" s="41"/>
      <c r="C51" s="42" t="str">
        <f aca="false">IF($B51="","",IFERROR(INDEX(ExEquip,MATCH($B51,ExName,0)),"?"))</f>
        <v/>
      </c>
      <c r="D51" s="42" t="str">
        <f aca="false">IF($B51="","",IFERROR(INDEX(ExPattern,MATCH($B51,ExName,0)),"?"))</f>
        <v/>
      </c>
      <c r="E51" s="42" t="str">
        <f aca="false">IF($B51="","",IFERROR(INDEX(ExPrimary,MATCH($B51,ExName,0)),"?"))</f>
        <v/>
      </c>
      <c r="F51" s="43" t="str">
        <f aca="false">IF($B51="","",IFERROR(INDEX(ExSecondary,MATCH($B51,ExName,0)),""))</f>
        <v/>
      </c>
      <c r="G51" s="42" t="str">
        <f aca="false">IF($B51="","",IFERROR(INDEX(ExProfile,MATCH($B51,ExName,0)),"?"))</f>
        <v/>
      </c>
      <c r="H51" s="35" t="str">
        <f aca="false">IF($G51="","",IFERROR(INDEX(PrSets,MATCH($G51&amp;"|"&amp;$B$5,PrKey,0)),"?"))</f>
        <v/>
      </c>
      <c r="I51" s="35" t="str">
        <f aca="false">IF($G51="","",IFERROR(INDEX(PrReps,MATCH($G51&amp;"|"&amp;$B$5,PrKey,0)),"?"))</f>
        <v/>
      </c>
      <c r="J51" s="35" t="str">
        <f aca="false">IF($G51="","",IFERROR(INDEX(PrLoad,MATCH($G51&amp;"|"&amp;$B$5,PrKey,0)),"?"))</f>
        <v/>
      </c>
      <c r="K51" s="35" t="str">
        <f aca="false">IF($B51="","",IF(N($S51)=0,"Bodyweight / RPE",IF(N($R51)=0,"Enter 1RM in library",TEXT(MROUND($R51*$S51,2.5),"0.0")&amp;"–"&amp;TEXT(MROUND($R51*$T51,2.5),"0.0")&amp;" kg")))</f>
        <v/>
      </c>
      <c r="L51" s="35" t="str">
        <f aca="false">IF($G51="","",IFERROR(INDEX(PrRest,MATCH($G51&amp;"|"&amp;$B$5,PrKey,0)),"?"))</f>
        <v/>
      </c>
      <c r="M51" s="43" t="str">
        <f aca="false">IF($G51="","",IFERROR(INDEX(PrNote,MATCH($G51&amp;"|"&amp;$B$5,PrKey,0)),""))</f>
        <v/>
      </c>
      <c r="N51" s="44"/>
      <c r="O51" s="45"/>
      <c r="P51" s="35" t="str">
        <f aca="false">IF(OR($B51="",$U51=""),"",IF($U51=0,0,ROUND(($U51*($V51+$W51)+TimeSetup)/60,0)))</f>
        <v/>
      </c>
      <c r="Q51" s="2"/>
      <c r="R51" s="2" t="str">
        <f aca="false">IF($B51="","",IFERROR(INDEX(Ex1RM,MATCH($B51,ExName,0)),""))</f>
        <v/>
      </c>
      <c r="S51" s="2" t="str">
        <f aca="false">IF($G51="","",IFERROR(INDEX(PrMin,MATCH($G51&amp;"|"&amp;$B$5,PrKey,0)),""))</f>
        <v/>
      </c>
      <c r="T51" s="2" t="str">
        <f aca="false">IF($G51="","",IFERROR(INDEX(PrMax,MATCH($G51&amp;"|"&amp;$B$5,PrKey,0)),""))</f>
        <v/>
      </c>
      <c r="U51" s="2" t="str">
        <f aca="false">IF($G51="","",IFERROR(INDEX(PrSetsN,MATCH($G51&amp;"|"&amp;$B$5,PrKey,0)),""))</f>
        <v/>
      </c>
      <c r="V51" s="2" t="str">
        <f aca="false">IF($G51="","",IFERROR(INDEX(PrWorkS,MATCH($G51&amp;"|"&amp;$B$5,PrKey,0)),""))</f>
        <v/>
      </c>
      <c r="W51" s="2" t="str">
        <f aca="false">IF($G51="","",IFERROR(INDEX(PrRestS,MATCH($G51&amp;"|"&amp;$B$5,PrKey,0)),""))</f>
        <v/>
      </c>
      <c r="X51" s="2"/>
      <c r="Y51" s="2" t="n">
        <f aca="false">IF(OR(INDEX(WuTrigger,40)="Always",COUNTIF($D$30:$D$51,INDEX(WuTrigger,40))&gt;0,COUNTIF($E$30:$E$51,INDEX(WuTrigger,40))&gt;0),1,0)</f>
        <v>0</v>
      </c>
      <c r="Z51" s="2" t="n">
        <f aca="false">INDEX(WuPriority,40)*1000+40</f>
        <v>5040</v>
      </c>
      <c r="AA51" s="2" t="str">
        <f aca="false">IF($Y51=0,"",SUMIFS(WuMin,$Y$12:$Y$60,1,$Z$12:$Z$60,"&lt;="&amp;$Z51))</f>
        <v/>
      </c>
      <c r="AB51" s="2" t="n">
        <f aca="false">IF(AND($Y51=1,$AA51&lt;=$B$6),1,0)</f>
        <v>0</v>
      </c>
      <c r="AC51" s="2" t="n">
        <f aca="false">INDEX(WuPhaseN,40)*1000+40</f>
        <v>2040</v>
      </c>
      <c r="AD51" s="2" t="str">
        <f aca="false">IF($AB51=0,"",COUNTIFS($AB$12:$AB$60,1,$AC$12:$AC$60,"&lt;"&amp;$AC51)+1)</f>
        <v/>
      </c>
      <c r="AE51" s="2"/>
      <c r="AF51" s="2" t="n">
        <f aca="false">IF(OR(INDEX(MoTarget,40)="Always",COUNTIF($E$30:$E$51,INDEX(MoTarget,40))&gt;0,COUNTIF($F$30:$F$51,"*"&amp;INDEX(MoTarget,40)&amp;"*")&gt;0),1,0)</f>
        <v>0</v>
      </c>
      <c r="AG51" s="2" t="n">
        <f aca="false">INDEX(MoPriority,40)*1000+40</f>
        <v>3040</v>
      </c>
      <c r="AH51" s="2" t="str">
        <f aca="false">IF($AF51=0,"",SUMIFS(MoMin,$AF$12:$AF$54,1,$AG$12:$AG$54,"&lt;="&amp;$AG51))</f>
        <v/>
      </c>
      <c r="AI51" s="2" t="n">
        <f aca="false">IF(AND($AF51=1,$AH51&lt;=$B$7),1,0)</f>
        <v>0</v>
      </c>
      <c r="AJ51" s="2" t="n">
        <f aca="false">INDEX(MoTypeN,40)*1000+40</f>
        <v>3040</v>
      </c>
      <c r="AK51" s="2" t="str">
        <f aca="false">IF($AI51=0,"",COUNTIFS($AI$12:$AI$54,1,$AJ$12:$AJ$54,"&lt;"&amp;$AJ51)+1)</f>
        <v/>
      </c>
    </row>
    <row r="52" customFormat="false" ht="15" hidden="false" customHeight="false" outlineLevel="0" collapsed="false">
      <c r="A52" s="38" t="s">
        <v>1037</v>
      </c>
      <c r="B52" s="39"/>
      <c r="C52" s="39"/>
      <c r="D52" s="39"/>
      <c r="E52" s="39"/>
      <c r="F52" s="39"/>
      <c r="G52" s="39"/>
      <c r="H52" s="39"/>
      <c r="I52" s="39"/>
      <c r="J52" s="39"/>
      <c r="K52" s="39"/>
      <c r="L52" s="39"/>
      <c r="M52" s="39"/>
      <c r="N52" s="39"/>
      <c r="O52" s="39"/>
      <c r="P52" s="40" t="n">
        <f aca="false">SUM($P$30:$P$51)</f>
        <v>0</v>
      </c>
      <c r="Q52" s="2"/>
      <c r="R52" s="2"/>
      <c r="S52" s="2"/>
      <c r="T52" s="2"/>
      <c r="U52" s="2"/>
      <c r="V52" s="2"/>
      <c r="W52" s="2"/>
      <c r="X52" s="2"/>
      <c r="Y52" s="2" t="n">
        <f aca="false">IF(OR(INDEX(WuTrigger,41)="Always",COUNTIF($D$30:$D$51,INDEX(WuTrigger,41))&gt;0,COUNTIF($E$30:$E$51,INDEX(WuTrigger,41))&gt;0),1,0)</f>
        <v>0</v>
      </c>
      <c r="Z52" s="2" t="n">
        <f aca="false">INDEX(WuPriority,41)*1000+41</f>
        <v>7041</v>
      </c>
      <c r="AA52" s="2" t="str">
        <f aca="false">IF($Y52=0,"",SUMIFS(WuMin,$Y$12:$Y$60,1,$Z$12:$Z$60,"&lt;="&amp;$Z52))</f>
        <v/>
      </c>
      <c r="AB52" s="2" t="n">
        <f aca="false">IF(AND($Y52=1,$AA52&lt;=$B$6),1,0)</f>
        <v>0</v>
      </c>
      <c r="AC52" s="2" t="n">
        <f aca="false">INDEX(WuPhaseN,41)*1000+41</f>
        <v>2041</v>
      </c>
      <c r="AD52" s="2" t="str">
        <f aca="false">IF($AB52=0,"",COUNTIFS($AB$12:$AB$60,1,$AC$12:$AC$60,"&lt;"&amp;$AC52)+1)</f>
        <v/>
      </c>
      <c r="AE52" s="2"/>
      <c r="AF52" s="2" t="n">
        <f aca="false">IF(OR(INDEX(MoTarget,41)="Always",COUNTIF($E$30:$E$51,INDEX(MoTarget,41))&gt;0,COUNTIF($F$30:$F$51,"*"&amp;INDEX(MoTarget,41)&amp;"*")&gt;0),1,0)</f>
        <v>0</v>
      </c>
      <c r="AG52" s="2" t="n">
        <f aca="false">INDEX(MoPriority,41)*1000+41</f>
        <v>4041</v>
      </c>
      <c r="AH52" s="2" t="str">
        <f aca="false">IF($AF52=0,"",SUMIFS(MoMin,$AF$12:$AF$54,1,$AG$12:$AG$54,"&lt;="&amp;$AG52))</f>
        <v/>
      </c>
      <c r="AI52" s="2" t="n">
        <f aca="false">IF(AND($AF52=1,$AH52&lt;=$B$7),1,0)</f>
        <v>0</v>
      </c>
      <c r="AJ52" s="2" t="n">
        <f aca="false">INDEX(MoTypeN,41)*1000+41</f>
        <v>3041</v>
      </c>
      <c r="AK52" s="2" t="str">
        <f aca="false">IF($AI52=0,"",COUNTIFS($AI$12:$AI$54,1,$AJ$12:$AJ$54,"&lt;"&amp;$AJ52)+1)</f>
        <v/>
      </c>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t="n">
        <f aca="false">IF(OR(INDEX(WuTrigger,42)="Always",COUNTIF($D$30:$D$51,INDEX(WuTrigger,42))&gt;0,COUNTIF($E$30:$E$51,INDEX(WuTrigger,42))&gt;0),1,0)</f>
        <v>0</v>
      </c>
      <c r="Z53" s="2" t="n">
        <f aca="false">INDEX(WuPriority,42)*1000+42</f>
        <v>6042</v>
      </c>
      <c r="AA53" s="2" t="str">
        <f aca="false">IF($Y53=0,"",SUMIFS(WuMin,$Y$12:$Y$60,1,$Z$12:$Z$60,"&lt;="&amp;$Z53))</f>
        <v/>
      </c>
      <c r="AB53" s="2" t="n">
        <f aca="false">IF(AND($Y53=1,$AA53&lt;=$B$6),1,0)</f>
        <v>0</v>
      </c>
      <c r="AC53" s="2" t="n">
        <f aca="false">INDEX(WuPhaseN,42)*1000+42</f>
        <v>3042</v>
      </c>
      <c r="AD53" s="2" t="str">
        <f aca="false">IF($AB53=0,"",COUNTIFS($AB$12:$AB$60,1,$AC$12:$AC$60,"&lt;"&amp;$AC53)+1)</f>
        <v/>
      </c>
      <c r="AE53" s="2"/>
      <c r="AF53" s="2" t="n">
        <f aca="false">IF(OR(INDEX(MoTarget,42)="Always",COUNTIF($E$30:$E$51,INDEX(MoTarget,42))&gt;0,COUNTIF($F$30:$F$51,"*"&amp;INDEX(MoTarget,42)&amp;"*")&gt;0),1,0)</f>
        <v>0</v>
      </c>
      <c r="AG53" s="2" t="n">
        <f aca="false">INDEX(MoPriority,42)*1000+42</f>
        <v>3042</v>
      </c>
      <c r="AH53" s="2" t="str">
        <f aca="false">IF($AF53=0,"",SUMIFS(MoMin,$AF$12:$AF$54,1,$AG$12:$AG$54,"&lt;="&amp;$AG53))</f>
        <v/>
      </c>
      <c r="AI53" s="2" t="n">
        <f aca="false">IF(AND($AF53=1,$AH53&lt;=$B$7),1,0)</f>
        <v>0</v>
      </c>
      <c r="AJ53" s="2" t="n">
        <f aca="false">INDEX(MoTypeN,42)*1000+42</f>
        <v>5042</v>
      </c>
      <c r="AK53" s="2" t="str">
        <f aca="false">IF($AI53=0,"",COUNTIFS($AI$12:$AI$54,1,$AJ$12:$AJ$54,"&lt;"&amp;$AJ53)+1)</f>
        <v/>
      </c>
    </row>
    <row r="54" customFormat="false" ht="19.5" hidden="false" customHeight="true" outlineLevel="0" collapsed="false">
      <c r="A54" s="33" t="s">
        <v>1038</v>
      </c>
      <c r="B54" s="33"/>
      <c r="C54" s="33"/>
      <c r="D54" s="33"/>
      <c r="E54" s="33"/>
      <c r="F54" s="33"/>
      <c r="G54" s="33"/>
      <c r="H54" s="33"/>
      <c r="I54" s="33"/>
      <c r="J54" s="33"/>
      <c r="K54" s="33"/>
      <c r="L54" s="33"/>
      <c r="M54" s="33"/>
      <c r="N54" s="33"/>
      <c r="O54" s="33"/>
      <c r="P54" s="33"/>
      <c r="Q54" s="2"/>
      <c r="R54" s="2"/>
      <c r="S54" s="2"/>
      <c r="T54" s="2"/>
      <c r="U54" s="2"/>
      <c r="V54" s="2"/>
      <c r="W54" s="2"/>
      <c r="X54" s="2"/>
      <c r="Y54" s="2" t="n">
        <f aca="false">IF(OR(INDEX(WuTrigger,43)="Always",COUNTIF($D$30:$D$51,INDEX(WuTrigger,43))&gt;0,COUNTIF($E$30:$E$51,INDEX(WuTrigger,43))&gt;0),1,0)</f>
        <v>0</v>
      </c>
      <c r="Z54" s="2" t="n">
        <f aca="false">INDEX(WuPriority,43)*1000+43</f>
        <v>6043</v>
      </c>
      <c r="AA54" s="2" t="str">
        <f aca="false">IF($Y54=0,"",SUMIFS(WuMin,$Y$12:$Y$60,1,$Z$12:$Z$60,"&lt;="&amp;$Z54))</f>
        <v/>
      </c>
      <c r="AB54" s="2" t="n">
        <f aca="false">IF(AND($Y54=1,$AA54&lt;=$B$6),1,0)</f>
        <v>0</v>
      </c>
      <c r="AC54" s="2" t="n">
        <f aca="false">INDEX(WuPhaseN,43)*1000+43</f>
        <v>2043</v>
      </c>
      <c r="AD54" s="2" t="str">
        <f aca="false">IF($AB54=0,"",COUNTIFS($AB$12:$AB$60,1,$AC$12:$AC$60,"&lt;"&amp;$AC54)+1)</f>
        <v/>
      </c>
      <c r="AE54" s="2"/>
      <c r="AF54" s="2" t="n">
        <f aca="false">IF(OR(INDEX(MoTarget,43)="Always",COUNTIF($E$30:$E$51,INDEX(MoTarget,43))&gt;0,COUNTIF($F$30:$F$51,"*"&amp;INDEX(MoTarget,43)&amp;"*")&gt;0),1,0)</f>
        <v>0</v>
      </c>
      <c r="AG54" s="2" t="n">
        <f aca="false">INDEX(MoPriority,43)*1000+43</f>
        <v>4043</v>
      </c>
      <c r="AH54" s="2" t="str">
        <f aca="false">IF($AF54=0,"",SUMIFS(MoMin,$AF$12:$AF$54,1,$AG$12:$AG$54,"&lt;="&amp;$AG54))</f>
        <v/>
      </c>
      <c r="AI54" s="2" t="n">
        <f aca="false">IF(AND($AF54=1,$AH54&lt;=$B$7),1,0)</f>
        <v>0</v>
      </c>
      <c r="AJ54" s="2" t="n">
        <f aca="false">INDEX(MoTypeN,43)*1000+43</f>
        <v>5043</v>
      </c>
      <c r="AK54" s="2" t="str">
        <f aca="false">IF($AI54=0,"",COUNTIFS($AI$12:$AI$54,1,$AJ$12:$AJ$54,"&lt;"&amp;$AJ54)+1)</f>
        <v/>
      </c>
    </row>
    <row r="55" customFormat="false" ht="19.5" hidden="false" customHeight="true" outlineLevel="0" collapsed="false">
      <c r="A55" s="9" t="s">
        <v>1023</v>
      </c>
      <c r="B55" s="9" t="s">
        <v>52</v>
      </c>
      <c r="C55" s="9" t="s">
        <v>789</v>
      </c>
      <c r="D55" s="9" t="s">
        <v>791</v>
      </c>
      <c r="E55" s="9" t="s">
        <v>1025</v>
      </c>
      <c r="F55" s="9" t="s">
        <v>654</v>
      </c>
      <c r="G55" s="34"/>
      <c r="H55" s="34"/>
      <c r="I55" s="34"/>
      <c r="J55" s="34"/>
      <c r="K55" s="34"/>
      <c r="L55" s="34"/>
      <c r="M55" s="34"/>
      <c r="N55" s="2"/>
      <c r="O55" s="2"/>
      <c r="P55" s="2"/>
      <c r="Q55" s="2"/>
      <c r="R55" s="2"/>
      <c r="S55" s="2"/>
      <c r="T55" s="2"/>
      <c r="U55" s="2"/>
      <c r="V55" s="2"/>
      <c r="W55" s="2"/>
      <c r="X55" s="2"/>
      <c r="Y55" s="2" t="n">
        <f aca="false">IF(OR(INDEX(WuTrigger,44)="Always",COUNTIF($D$30:$D$51,INDEX(WuTrigger,44))&gt;0,COUNTIF($E$30:$E$51,INDEX(WuTrigger,44))&gt;0),1,0)</f>
        <v>0</v>
      </c>
      <c r="Z55" s="2" t="n">
        <f aca="false">INDEX(WuPriority,44)*1000+44</f>
        <v>6044</v>
      </c>
      <c r="AA55" s="2" t="str">
        <f aca="false">IF($Y55=0,"",SUMIFS(WuMin,$Y$12:$Y$60,1,$Z$12:$Z$60,"&lt;="&amp;$Z55))</f>
        <v/>
      </c>
      <c r="AB55" s="2" t="n">
        <f aca="false">IF(AND($Y55=1,$AA55&lt;=$B$6),1,0)</f>
        <v>0</v>
      </c>
      <c r="AC55" s="2" t="n">
        <f aca="false">INDEX(WuPhaseN,44)*1000+44</f>
        <v>2044</v>
      </c>
      <c r="AD55" s="2" t="str">
        <f aca="false">IF($AB55=0,"",COUNTIFS($AB$12:$AB$60,1,$AC$12:$AC$60,"&lt;"&amp;$AC55)+1)</f>
        <v/>
      </c>
      <c r="AE55" s="2"/>
      <c r="AF55" s="2"/>
      <c r="AG55" s="2"/>
      <c r="AH55" s="2"/>
      <c r="AI55" s="2"/>
      <c r="AJ55" s="2"/>
      <c r="AK55" s="2"/>
    </row>
    <row r="56" customFormat="false" ht="24" hidden="false" customHeight="true" outlineLevel="0" collapsed="false">
      <c r="A56" s="35" t="n">
        <v>1</v>
      </c>
      <c r="B56" s="36" t="str">
        <f aca="false">IFERROR(INDEX(MoName,MATCH(1,$AK$12:$AK$54,0)),"")</f>
        <v>Cat-Cow</v>
      </c>
      <c r="C56" s="36" t="str">
        <f aca="false">IF($B56="","",INDEX(MoType,MATCH(1,$AK$12:$AK$54,0)))</f>
        <v>Flow</v>
      </c>
      <c r="D56" s="36" t="str">
        <f aca="false">IF($B56="","",INDEX(MoTarget,MATCH(1,$AK$12:$AK$54,0)))</f>
        <v>Always</v>
      </c>
      <c r="E56" s="35" t="n">
        <f aca="false">IF($B56="","",INDEX(MoMin,MATCH(1,$AK$12:$AK$54,0)))</f>
        <v>2</v>
      </c>
      <c r="F56" s="37" t="str">
        <f aca="false">IF($B56="","",INDEX(MoHow,MATCH(1,$AK$12:$AK$54,0)))</f>
        <v>On all fours. Inhale into extension, exhale into flexion. 10 slow cycles.</v>
      </c>
      <c r="G56" s="37"/>
      <c r="H56" s="37"/>
      <c r="I56" s="37"/>
      <c r="J56" s="37"/>
      <c r="K56" s="37"/>
      <c r="L56" s="37"/>
      <c r="M56" s="37"/>
      <c r="N56" s="2"/>
      <c r="O56" s="2"/>
      <c r="P56" s="2"/>
      <c r="Q56" s="2"/>
      <c r="R56" s="2"/>
      <c r="S56" s="2"/>
      <c r="T56" s="2"/>
      <c r="U56" s="2"/>
      <c r="V56" s="2"/>
      <c r="W56" s="2"/>
      <c r="X56" s="2"/>
      <c r="Y56" s="2" t="n">
        <f aca="false">IF(OR(INDEX(WuTrigger,45)="Always",COUNTIF($D$30:$D$51,INDEX(WuTrigger,45))&gt;0,COUNTIF($E$30:$E$51,INDEX(WuTrigger,45))&gt;0),1,0)</f>
        <v>0</v>
      </c>
      <c r="Z56" s="2" t="n">
        <f aca="false">INDEX(WuPriority,45)*1000+45</f>
        <v>7045</v>
      </c>
      <c r="AA56" s="2" t="str">
        <f aca="false">IF($Y56=0,"",SUMIFS(WuMin,$Y$12:$Y$60,1,$Z$12:$Z$60,"&lt;="&amp;$Z56))</f>
        <v/>
      </c>
      <c r="AB56" s="2" t="n">
        <f aca="false">IF(AND($Y56=1,$AA56&lt;=$B$6),1,0)</f>
        <v>0</v>
      </c>
      <c r="AC56" s="2" t="n">
        <f aca="false">INDEX(WuPhaseN,45)*1000+45</f>
        <v>2045</v>
      </c>
      <c r="AD56" s="2" t="str">
        <f aca="false">IF($AB56=0,"",COUNTIFS($AB$12:$AB$60,1,$AC$12:$AC$60,"&lt;"&amp;$AC56)+1)</f>
        <v/>
      </c>
      <c r="AE56" s="2"/>
      <c r="AF56" s="2"/>
      <c r="AG56" s="2"/>
      <c r="AH56" s="2"/>
      <c r="AI56" s="2"/>
      <c r="AJ56" s="2"/>
      <c r="AK56" s="2"/>
    </row>
    <row r="57" customFormat="false" ht="24" hidden="false" customHeight="true" outlineLevel="0" collapsed="false">
      <c r="A57" s="35" t="n">
        <v>2</v>
      </c>
      <c r="B57" s="36" t="str">
        <f aca="false">IFERROR(INDEX(MoName,MATCH(2,$AK$12:$AK$54,0)),"")</f>
        <v>Downward Dog</v>
      </c>
      <c r="C57" s="36" t="str">
        <f aca="false">IF($B57="","",INDEX(MoType,MATCH(2,$AK$12:$AK$54,0)))</f>
        <v>Flow</v>
      </c>
      <c r="D57" s="36" t="str">
        <f aca="false">IF($B57="","",INDEX(MoTarget,MATCH(2,$AK$12:$AK$54,0)))</f>
        <v>Always</v>
      </c>
      <c r="E57" s="35" t="n">
        <f aca="false">IF($B57="","",INDEX(MoMin,MATCH(2,$AK$12:$AK$54,0)))</f>
        <v>2</v>
      </c>
      <c r="F57" s="37" t="str">
        <f aca="false">IF($B57="","",INDEX(MoHow,MATCH(2,$AK$12:$AK$54,0)))</f>
        <v>Press the floor away, pedal the heels. Hold 60 s, twice.</v>
      </c>
      <c r="G57" s="37"/>
      <c r="H57" s="37"/>
      <c r="I57" s="37"/>
      <c r="J57" s="37"/>
      <c r="K57" s="37"/>
      <c r="L57" s="37"/>
      <c r="M57" s="37"/>
      <c r="N57" s="2"/>
      <c r="O57" s="2"/>
      <c r="P57" s="2"/>
      <c r="Q57" s="2"/>
      <c r="R57" s="2"/>
      <c r="S57" s="2"/>
      <c r="T57" s="2"/>
      <c r="U57" s="2"/>
      <c r="V57" s="2"/>
      <c r="W57" s="2"/>
      <c r="X57" s="2"/>
      <c r="Y57" s="2" t="n">
        <f aca="false">IF(OR(INDEX(WuTrigger,46)="Always",COUNTIF($D$30:$D$51,INDEX(WuTrigger,46))&gt;0,COUNTIF($E$30:$E$51,INDEX(WuTrigger,46))&gt;0),1,0)</f>
        <v>0</v>
      </c>
      <c r="Z57" s="2" t="n">
        <f aca="false">INDEX(WuPriority,46)*1000+46</f>
        <v>7046</v>
      </c>
      <c r="AA57" s="2" t="str">
        <f aca="false">IF($Y57=0,"",SUMIFS(WuMin,$Y$12:$Y$60,1,$Z$12:$Z$60,"&lt;="&amp;$Z57))</f>
        <v/>
      </c>
      <c r="AB57" s="2" t="n">
        <f aca="false">IF(AND($Y57=1,$AA57&lt;=$B$6),1,0)</f>
        <v>0</v>
      </c>
      <c r="AC57" s="2" t="n">
        <f aca="false">INDEX(WuPhaseN,46)*1000+46</f>
        <v>3046</v>
      </c>
      <c r="AD57" s="2" t="str">
        <f aca="false">IF($AB57=0,"",COUNTIFS($AB$12:$AB$60,1,$AC$12:$AC$60,"&lt;"&amp;$AC57)+1)</f>
        <v/>
      </c>
      <c r="AE57" s="2"/>
      <c r="AF57" s="2"/>
      <c r="AG57" s="2"/>
      <c r="AH57" s="2"/>
      <c r="AI57" s="2"/>
      <c r="AJ57" s="2"/>
      <c r="AK57" s="2"/>
    </row>
    <row r="58" customFormat="false" ht="24" hidden="false" customHeight="true" outlineLevel="0" collapsed="false">
      <c r="A58" s="35" t="n">
        <v>3</v>
      </c>
      <c r="B58" s="36" t="str">
        <f aca="false">IFERROR(INDEX(MoName,MATCH(3,$AK$12:$AK$54,0)),"")</f>
        <v>Cobra to Child's Pose</v>
      </c>
      <c r="C58" s="36" t="str">
        <f aca="false">IF($B58="","",INDEX(MoType,MATCH(3,$AK$12:$AK$54,0)))</f>
        <v>Flow</v>
      </c>
      <c r="D58" s="36" t="str">
        <f aca="false">IF($B58="","",INDEX(MoTarget,MATCH(3,$AK$12:$AK$54,0)))</f>
        <v>Always</v>
      </c>
      <c r="E58" s="35" t="n">
        <f aca="false">IF($B58="","",INDEX(MoMin,MATCH(3,$AK$12:$AK$54,0)))</f>
        <v>3</v>
      </c>
      <c r="F58" s="37" t="str">
        <f aca="false">IF($B58="","",INDEX(MoHow,MATCH(3,$AK$12:$AK$54,0)))</f>
        <v>Flow between the two on the breath. 8 rounds, 5 s in each end position.</v>
      </c>
      <c r="G58" s="37"/>
      <c r="H58" s="37"/>
      <c r="I58" s="37"/>
      <c r="J58" s="37"/>
      <c r="K58" s="37"/>
      <c r="L58" s="37"/>
      <c r="M58" s="37"/>
      <c r="N58" s="2"/>
      <c r="O58" s="2"/>
      <c r="P58" s="2"/>
      <c r="Q58" s="2"/>
      <c r="R58" s="2"/>
      <c r="S58" s="2"/>
      <c r="T58" s="2"/>
      <c r="U58" s="2"/>
      <c r="V58" s="2"/>
      <c r="W58" s="2"/>
      <c r="X58" s="2"/>
      <c r="Y58" s="2" t="n">
        <f aca="false">IF(OR(INDEX(WuTrigger,47)="Always",COUNTIF($D$30:$D$51,INDEX(WuTrigger,47))&gt;0,COUNTIF($E$30:$E$51,INDEX(WuTrigger,47))&gt;0),1,0)</f>
        <v>0</v>
      </c>
      <c r="Z58" s="2" t="n">
        <f aca="false">INDEX(WuPriority,47)*1000+47</f>
        <v>8047</v>
      </c>
      <c r="AA58" s="2" t="str">
        <f aca="false">IF($Y58=0,"",SUMIFS(WuMin,$Y$12:$Y$60,1,$Z$12:$Z$60,"&lt;="&amp;$Z58))</f>
        <v/>
      </c>
      <c r="AB58" s="2" t="n">
        <f aca="false">IF(AND($Y58=1,$AA58&lt;=$B$6),1,0)</f>
        <v>0</v>
      </c>
      <c r="AC58" s="2" t="n">
        <f aca="false">INDEX(WuPhaseN,47)*1000+47</f>
        <v>3047</v>
      </c>
      <c r="AD58" s="2" t="str">
        <f aca="false">IF($AB58=0,"",COUNTIFS($AB$12:$AB$60,1,$AC$12:$AC$60,"&lt;"&amp;$AC58)+1)</f>
        <v/>
      </c>
      <c r="AE58" s="2"/>
      <c r="AF58" s="2"/>
      <c r="AG58" s="2"/>
      <c r="AH58" s="2"/>
      <c r="AI58" s="2"/>
      <c r="AJ58" s="2"/>
      <c r="AK58" s="2"/>
    </row>
    <row r="59" customFormat="false" ht="24" hidden="false" customHeight="true" outlineLevel="0" collapsed="false">
      <c r="A59" s="35" t="n">
        <v>4</v>
      </c>
      <c r="B59" s="36" t="str">
        <f aca="false">IFERROR(INDEX(MoName,MATCH(4,$AK$12:$AK$54,0)),"")</f>
        <v/>
      </c>
      <c r="C59" s="36" t="str">
        <f aca="false">IF($B59="","",INDEX(MoType,MATCH(4,$AK$12:$AK$54,0)))</f>
        <v/>
      </c>
      <c r="D59" s="36" t="str">
        <f aca="false">IF($B59="","",INDEX(MoTarget,MATCH(4,$AK$12:$AK$54,0)))</f>
        <v/>
      </c>
      <c r="E59" s="35" t="str">
        <f aca="false">IF($B59="","",INDEX(MoMin,MATCH(4,$AK$12:$AK$54,0)))</f>
        <v/>
      </c>
      <c r="F59" s="37" t="str">
        <f aca="false">IF($B59="","",INDEX(MoHow,MATCH(4,$AK$12:$AK$54,0)))</f>
        <v/>
      </c>
      <c r="G59" s="37"/>
      <c r="H59" s="37"/>
      <c r="I59" s="37"/>
      <c r="J59" s="37"/>
      <c r="K59" s="37"/>
      <c r="L59" s="37"/>
      <c r="M59" s="37"/>
      <c r="N59" s="2"/>
      <c r="O59" s="2"/>
      <c r="P59" s="2"/>
      <c r="Q59" s="2"/>
      <c r="R59" s="2"/>
      <c r="S59" s="2"/>
      <c r="T59" s="2"/>
      <c r="U59" s="2"/>
      <c r="V59" s="2"/>
      <c r="W59" s="2"/>
      <c r="X59" s="2"/>
      <c r="Y59" s="2" t="n">
        <f aca="false">IF(OR(INDEX(WuTrigger,48)="Always",COUNTIF($D$30:$D$51,INDEX(WuTrigger,48))&gt;0,COUNTIF($E$30:$E$51,INDEX(WuTrigger,48))&gt;0),1,0)</f>
        <v>0</v>
      </c>
      <c r="Z59" s="2" t="n">
        <f aca="false">INDEX(WuPriority,48)*1000+48</f>
        <v>8048</v>
      </c>
      <c r="AA59" s="2" t="str">
        <f aca="false">IF($Y59=0,"",SUMIFS(WuMin,$Y$12:$Y$60,1,$Z$12:$Z$60,"&lt;="&amp;$Z59))</f>
        <v/>
      </c>
      <c r="AB59" s="2" t="n">
        <f aca="false">IF(AND($Y59=1,$AA59&lt;=$B$6),1,0)</f>
        <v>0</v>
      </c>
      <c r="AC59" s="2" t="n">
        <f aca="false">INDEX(WuPhaseN,48)*1000+48</f>
        <v>2048</v>
      </c>
      <c r="AD59" s="2" t="str">
        <f aca="false">IF($AB59=0,"",COUNTIFS($AB$12:$AB$60,1,$AC$12:$AC$60,"&lt;"&amp;$AC59)+1)</f>
        <v/>
      </c>
      <c r="AE59" s="2"/>
      <c r="AF59" s="2"/>
      <c r="AG59" s="2"/>
      <c r="AH59" s="2"/>
      <c r="AI59" s="2"/>
      <c r="AJ59" s="2"/>
      <c r="AK59" s="2"/>
    </row>
    <row r="60" customFormat="false" ht="24" hidden="false" customHeight="true" outlineLevel="0" collapsed="false">
      <c r="A60" s="35" t="n">
        <v>5</v>
      </c>
      <c r="B60" s="36" t="str">
        <f aca="false">IFERROR(INDEX(MoName,MATCH(5,$AK$12:$AK$54,0)),"")</f>
        <v/>
      </c>
      <c r="C60" s="36" t="str">
        <f aca="false">IF($B60="","",INDEX(MoType,MATCH(5,$AK$12:$AK$54,0)))</f>
        <v/>
      </c>
      <c r="D60" s="36" t="str">
        <f aca="false">IF($B60="","",INDEX(MoTarget,MATCH(5,$AK$12:$AK$54,0)))</f>
        <v/>
      </c>
      <c r="E60" s="35" t="str">
        <f aca="false">IF($B60="","",INDEX(MoMin,MATCH(5,$AK$12:$AK$54,0)))</f>
        <v/>
      </c>
      <c r="F60" s="37" t="str">
        <f aca="false">IF($B60="","",INDEX(MoHow,MATCH(5,$AK$12:$AK$54,0)))</f>
        <v/>
      </c>
      <c r="G60" s="37"/>
      <c r="H60" s="37"/>
      <c r="I60" s="37"/>
      <c r="J60" s="37"/>
      <c r="K60" s="37"/>
      <c r="L60" s="37"/>
      <c r="M60" s="37"/>
      <c r="N60" s="2"/>
      <c r="O60" s="2"/>
      <c r="P60" s="2"/>
      <c r="Q60" s="2"/>
      <c r="R60" s="2"/>
      <c r="S60" s="2"/>
      <c r="T60" s="2"/>
      <c r="U60" s="2"/>
      <c r="V60" s="2"/>
      <c r="W60" s="2"/>
      <c r="X60" s="2"/>
      <c r="Y60" s="2" t="n">
        <f aca="false">IF(OR(INDEX(WuTrigger,49)="Always",COUNTIF($D$30:$D$51,INDEX(WuTrigger,49))&gt;0,COUNTIF($E$30:$E$51,INDEX(WuTrigger,49))&gt;0),1,0)</f>
        <v>0</v>
      </c>
      <c r="Z60" s="2" t="n">
        <f aca="false">INDEX(WuPriority,49)*1000+49</f>
        <v>8049</v>
      </c>
      <c r="AA60" s="2" t="str">
        <f aca="false">IF($Y60=0,"",SUMIFS(WuMin,$Y$12:$Y$60,1,$Z$12:$Z$60,"&lt;="&amp;$Z60))</f>
        <v/>
      </c>
      <c r="AB60" s="2" t="n">
        <f aca="false">IF(AND($Y60=1,$AA60&lt;=$B$6),1,0)</f>
        <v>0</v>
      </c>
      <c r="AC60" s="2" t="n">
        <f aca="false">INDEX(WuPhaseN,49)*1000+49</f>
        <v>2049</v>
      </c>
      <c r="AD60" s="2" t="str">
        <f aca="false">IF($AB60=0,"",COUNTIFS($AB$12:$AB$60,1,$AC$12:$AC$60,"&lt;"&amp;$AC60)+1)</f>
        <v/>
      </c>
      <c r="AE60" s="2"/>
      <c r="AF60" s="2"/>
      <c r="AG60" s="2"/>
      <c r="AH60" s="2"/>
      <c r="AI60" s="2"/>
      <c r="AJ60" s="2"/>
      <c r="AK60" s="2"/>
    </row>
    <row r="61" customFormat="false" ht="24" hidden="false" customHeight="true" outlineLevel="0" collapsed="false">
      <c r="A61" s="35" t="n">
        <v>6</v>
      </c>
      <c r="B61" s="36" t="str">
        <f aca="false">IFERROR(INDEX(MoName,MATCH(6,$AK$12:$AK$54,0)),"")</f>
        <v/>
      </c>
      <c r="C61" s="36" t="str">
        <f aca="false">IF($B61="","",INDEX(MoType,MATCH(6,$AK$12:$AK$54,0)))</f>
        <v/>
      </c>
      <c r="D61" s="36" t="str">
        <f aca="false">IF($B61="","",INDEX(MoTarget,MATCH(6,$AK$12:$AK$54,0)))</f>
        <v/>
      </c>
      <c r="E61" s="35" t="str">
        <f aca="false">IF($B61="","",INDEX(MoMin,MATCH(6,$AK$12:$AK$54,0)))</f>
        <v/>
      </c>
      <c r="F61" s="37" t="str">
        <f aca="false">IF($B61="","",INDEX(MoHow,MATCH(6,$AK$12:$AK$54,0)))</f>
        <v/>
      </c>
      <c r="G61" s="37"/>
      <c r="H61" s="37"/>
      <c r="I61" s="37"/>
      <c r="J61" s="37"/>
      <c r="K61" s="37"/>
      <c r="L61" s="37"/>
      <c r="M61" s="37"/>
      <c r="N61" s="2"/>
      <c r="O61" s="2"/>
      <c r="P61" s="2"/>
      <c r="Q61" s="2"/>
      <c r="R61" s="2"/>
      <c r="S61" s="2"/>
      <c r="T61" s="2"/>
      <c r="U61" s="2"/>
      <c r="V61" s="2"/>
      <c r="W61" s="2"/>
      <c r="X61" s="2"/>
      <c r="Y61" s="2"/>
      <c r="Z61" s="2"/>
      <c r="AA61" s="2"/>
      <c r="AB61" s="2"/>
      <c r="AC61" s="2"/>
      <c r="AD61" s="2"/>
      <c r="AE61" s="2"/>
      <c r="AF61" s="2"/>
      <c r="AG61" s="2"/>
      <c r="AH61" s="2"/>
      <c r="AI61" s="2"/>
      <c r="AJ61" s="2"/>
      <c r="AK61" s="2"/>
    </row>
    <row r="62" customFormat="false" ht="24" hidden="false" customHeight="true" outlineLevel="0" collapsed="false">
      <c r="A62" s="35" t="n">
        <v>7</v>
      </c>
      <c r="B62" s="36" t="str">
        <f aca="false">IFERROR(INDEX(MoName,MATCH(7,$AK$12:$AK$54,0)),"")</f>
        <v/>
      </c>
      <c r="C62" s="36" t="str">
        <f aca="false">IF($B62="","",INDEX(MoType,MATCH(7,$AK$12:$AK$54,0)))</f>
        <v/>
      </c>
      <c r="D62" s="36" t="str">
        <f aca="false">IF($B62="","",INDEX(MoTarget,MATCH(7,$AK$12:$AK$54,0)))</f>
        <v/>
      </c>
      <c r="E62" s="35" t="str">
        <f aca="false">IF($B62="","",INDEX(MoMin,MATCH(7,$AK$12:$AK$54,0)))</f>
        <v/>
      </c>
      <c r="F62" s="37" t="str">
        <f aca="false">IF($B62="","",INDEX(MoHow,MATCH(7,$AK$12:$AK$54,0)))</f>
        <v/>
      </c>
      <c r="G62" s="37"/>
      <c r="H62" s="37"/>
      <c r="I62" s="37"/>
      <c r="J62" s="37"/>
      <c r="K62" s="37"/>
      <c r="L62" s="37"/>
      <c r="M62" s="37"/>
      <c r="N62" s="2"/>
      <c r="O62" s="2"/>
      <c r="P62" s="2"/>
      <c r="Q62" s="2"/>
      <c r="R62" s="2"/>
      <c r="S62" s="2"/>
      <c r="T62" s="2"/>
      <c r="U62" s="2"/>
      <c r="V62" s="2"/>
      <c r="W62" s="2"/>
      <c r="X62" s="2"/>
      <c r="Y62" s="2"/>
      <c r="Z62" s="2"/>
      <c r="AA62" s="2"/>
      <c r="AB62" s="2"/>
      <c r="AC62" s="2"/>
      <c r="AD62" s="2"/>
      <c r="AE62" s="2"/>
      <c r="AF62" s="2"/>
      <c r="AG62" s="2"/>
      <c r="AH62" s="2"/>
      <c r="AI62" s="2"/>
      <c r="AJ62" s="2"/>
      <c r="AK62" s="2"/>
    </row>
    <row r="63" customFormat="false" ht="24" hidden="false" customHeight="true" outlineLevel="0" collapsed="false">
      <c r="A63" s="35" t="n">
        <v>8</v>
      </c>
      <c r="B63" s="36" t="str">
        <f aca="false">IFERROR(INDEX(MoName,MATCH(8,$AK$12:$AK$54,0)),"")</f>
        <v/>
      </c>
      <c r="C63" s="36" t="str">
        <f aca="false">IF($B63="","",INDEX(MoType,MATCH(8,$AK$12:$AK$54,0)))</f>
        <v/>
      </c>
      <c r="D63" s="36" t="str">
        <f aca="false">IF($B63="","",INDEX(MoTarget,MATCH(8,$AK$12:$AK$54,0)))</f>
        <v/>
      </c>
      <c r="E63" s="35" t="str">
        <f aca="false">IF($B63="","",INDEX(MoMin,MATCH(8,$AK$12:$AK$54,0)))</f>
        <v/>
      </c>
      <c r="F63" s="37" t="str">
        <f aca="false">IF($B63="","",INDEX(MoHow,MATCH(8,$AK$12:$AK$54,0)))</f>
        <v/>
      </c>
      <c r="G63" s="37"/>
      <c r="H63" s="37"/>
      <c r="I63" s="37"/>
      <c r="J63" s="37"/>
      <c r="K63" s="37"/>
      <c r="L63" s="37"/>
      <c r="M63" s="37"/>
      <c r="N63" s="2"/>
      <c r="O63" s="2"/>
      <c r="P63" s="2"/>
      <c r="Q63" s="2"/>
      <c r="R63" s="2"/>
      <c r="S63" s="2"/>
      <c r="T63" s="2"/>
      <c r="U63" s="2"/>
      <c r="V63" s="2"/>
      <c r="W63" s="2"/>
      <c r="X63" s="2"/>
      <c r="Y63" s="2"/>
      <c r="Z63" s="2"/>
      <c r="AA63" s="2"/>
      <c r="AB63" s="2"/>
      <c r="AC63" s="2"/>
      <c r="AD63" s="2"/>
      <c r="AE63" s="2"/>
      <c r="AF63" s="2"/>
      <c r="AG63" s="2"/>
      <c r="AH63" s="2"/>
      <c r="AI63" s="2"/>
      <c r="AJ63" s="2"/>
      <c r="AK63" s="2"/>
    </row>
    <row r="64" customFormat="false" ht="24" hidden="false" customHeight="true" outlineLevel="0" collapsed="false">
      <c r="A64" s="35" t="n">
        <v>9</v>
      </c>
      <c r="B64" s="36" t="str">
        <f aca="false">IFERROR(INDEX(MoName,MATCH(9,$AK$12:$AK$54,0)),"")</f>
        <v/>
      </c>
      <c r="C64" s="36" t="str">
        <f aca="false">IF($B64="","",INDEX(MoType,MATCH(9,$AK$12:$AK$54,0)))</f>
        <v/>
      </c>
      <c r="D64" s="36" t="str">
        <f aca="false">IF($B64="","",INDEX(MoTarget,MATCH(9,$AK$12:$AK$54,0)))</f>
        <v/>
      </c>
      <c r="E64" s="35" t="str">
        <f aca="false">IF($B64="","",INDEX(MoMin,MATCH(9,$AK$12:$AK$54,0)))</f>
        <v/>
      </c>
      <c r="F64" s="37" t="str">
        <f aca="false">IF($B64="","",INDEX(MoHow,MATCH(9,$AK$12:$AK$54,0)))</f>
        <v/>
      </c>
      <c r="G64" s="37"/>
      <c r="H64" s="37"/>
      <c r="I64" s="37"/>
      <c r="J64" s="37"/>
      <c r="K64" s="37"/>
      <c r="L64" s="37"/>
      <c r="M64" s="37"/>
      <c r="N64" s="2"/>
      <c r="O64" s="2"/>
      <c r="P64" s="2"/>
      <c r="Q64" s="2"/>
      <c r="R64" s="2"/>
      <c r="S64" s="2"/>
      <c r="T64" s="2"/>
      <c r="U64" s="2"/>
      <c r="V64" s="2"/>
      <c r="W64" s="2"/>
      <c r="X64" s="2"/>
      <c r="Y64" s="2"/>
      <c r="Z64" s="2"/>
      <c r="AA64" s="2"/>
      <c r="AB64" s="2"/>
      <c r="AC64" s="2"/>
      <c r="AD64" s="2"/>
      <c r="AE64" s="2"/>
      <c r="AF64" s="2"/>
      <c r="AG64" s="2"/>
      <c r="AH64" s="2"/>
      <c r="AI64" s="2"/>
      <c r="AJ64" s="2"/>
      <c r="AK64" s="2"/>
    </row>
    <row r="65" customFormat="false" ht="24" hidden="false" customHeight="true" outlineLevel="0" collapsed="false">
      <c r="A65" s="35" t="n">
        <v>10</v>
      </c>
      <c r="B65" s="36" t="str">
        <f aca="false">IFERROR(INDEX(MoName,MATCH(10,$AK$12:$AK$54,0)),"")</f>
        <v/>
      </c>
      <c r="C65" s="36" t="str">
        <f aca="false">IF($B65="","",INDEX(MoType,MATCH(10,$AK$12:$AK$54,0)))</f>
        <v/>
      </c>
      <c r="D65" s="36" t="str">
        <f aca="false">IF($B65="","",INDEX(MoTarget,MATCH(10,$AK$12:$AK$54,0)))</f>
        <v/>
      </c>
      <c r="E65" s="35" t="str">
        <f aca="false">IF($B65="","",INDEX(MoMin,MATCH(10,$AK$12:$AK$54,0)))</f>
        <v/>
      </c>
      <c r="F65" s="37" t="str">
        <f aca="false">IF($B65="","",INDEX(MoHow,MATCH(10,$AK$12:$AK$54,0)))</f>
        <v/>
      </c>
      <c r="G65" s="37"/>
      <c r="H65" s="37"/>
      <c r="I65" s="37"/>
      <c r="J65" s="37"/>
      <c r="K65" s="37"/>
      <c r="L65" s="37"/>
      <c r="M65" s="37"/>
      <c r="N65" s="2"/>
      <c r="O65" s="2"/>
      <c r="P65" s="2"/>
      <c r="Q65" s="2"/>
      <c r="R65" s="2"/>
      <c r="S65" s="2"/>
      <c r="T65" s="2"/>
      <c r="U65" s="2"/>
      <c r="V65" s="2"/>
      <c r="W65" s="2"/>
      <c r="X65" s="2"/>
      <c r="Y65" s="2"/>
      <c r="Z65" s="2"/>
      <c r="AA65" s="2"/>
      <c r="AB65" s="2"/>
      <c r="AC65" s="2"/>
      <c r="AD65" s="2"/>
      <c r="AE65" s="2"/>
      <c r="AF65" s="2"/>
      <c r="AG65" s="2"/>
      <c r="AH65" s="2"/>
      <c r="AI65" s="2"/>
      <c r="AJ65" s="2"/>
      <c r="AK65" s="2"/>
    </row>
    <row r="66" customFormat="false" ht="15" hidden="false" customHeight="false" outlineLevel="0" collapsed="false">
      <c r="A66" s="38" t="s">
        <v>1039</v>
      </c>
      <c r="B66" s="39"/>
      <c r="C66" s="39"/>
      <c r="D66" s="39"/>
      <c r="E66" s="40" t="n">
        <f aca="false">SUMIFS(MoMin,$AI$12:$AI$54,1)</f>
        <v>7</v>
      </c>
      <c r="F66" s="39"/>
      <c r="G66" s="39"/>
      <c r="H66" s="39"/>
      <c r="I66" s="39"/>
      <c r="J66" s="39"/>
      <c r="K66" s="39"/>
      <c r="L66" s="39"/>
      <c r="M66" s="39"/>
      <c r="N66" s="2"/>
      <c r="O66" s="2"/>
      <c r="P66" s="2"/>
      <c r="Q66" s="2"/>
      <c r="R66" s="2"/>
      <c r="S66" s="2"/>
      <c r="T66" s="2"/>
      <c r="U66" s="2"/>
      <c r="V66" s="2"/>
      <c r="W66" s="2"/>
      <c r="X66" s="2"/>
      <c r="Y66" s="2"/>
      <c r="Z66" s="2"/>
      <c r="AA66" s="2"/>
      <c r="AB66" s="2"/>
      <c r="AC66" s="2"/>
      <c r="AD66" s="2"/>
      <c r="AE66" s="2"/>
      <c r="AF66" s="2"/>
      <c r="AG66" s="2"/>
      <c r="AH66" s="2"/>
      <c r="AI66" s="2"/>
      <c r="AJ66" s="2"/>
      <c r="AK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customFormat="false" ht="19.5" hidden="false" customHeight="true" outlineLevel="0" collapsed="false">
      <c r="A68" s="33" t="s">
        <v>1040</v>
      </c>
      <c r="B68" s="33"/>
      <c r="C68" s="33"/>
      <c r="D68" s="33"/>
      <c r="E68" s="33"/>
      <c r="F68" s="33"/>
      <c r="G68" s="33"/>
      <c r="H68" s="33"/>
      <c r="I68" s="33"/>
      <c r="J68" s="33"/>
      <c r="K68" s="33"/>
      <c r="L68" s="33"/>
      <c r="M68" s="33"/>
      <c r="N68" s="33"/>
      <c r="O68" s="33"/>
      <c r="P68" s="33"/>
      <c r="Q68" s="2"/>
      <c r="R68" s="2"/>
      <c r="S68" s="2"/>
      <c r="T68" s="2"/>
      <c r="U68" s="2"/>
      <c r="V68" s="2"/>
      <c r="W68" s="2"/>
      <c r="X68" s="2"/>
      <c r="Y68" s="2"/>
      <c r="Z68" s="2"/>
      <c r="AA68" s="2"/>
      <c r="AB68" s="2"/>
      <c r="AC68" s="2"/>
      <c r="AD68" s="2"/>
      <c r="AE68" s="2"/>
      <c r="AF68" s="2"/>
      <c r="AG68" s="2"/>
      <c r="AH68" s="2"/>
      <c r="AI68" s="2"/>
      <c r="AJ68" s="2"/>
      <c r="AK68" s="2"/>
    </row>
    <row r="69" customFormat="false" ht="15" hidden="false" customHeight="false" outlineLevel="0" collapsed="false">
      <c r="A69" s="14" t="s">
        <v>1041</v>
      </c>
      <c r="B69" s="48" t="n">
        <f aca="false">$E$26</f>
        <v>14</v>
      </c>
      <c r="C69" s="2"/>
      <c r="D69" s="8" t="s">
        <v>1042</v>
      </c>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customFormat="false" ht="15" hidden="false" customHeight="false" outlineLevel="0" collapsed="false">
      <c r="A70" s="14" t="s">
        <v>1043</v>
      </c>
      <c r="B70" s="48" t="n">
        <f aca="false">$P$52</f>
        <v>0</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customFormat="false" ht="15" hidden="false" customHeight="false" outlineLevel="0" collapsed="false">
      <c r="A71" s="14" t="s">
        <v>23</v>
      </c>
      <c r="B71" s="48" t="n">
        <f aca="false">$E$66</f>
        <v>7</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customFormat="false" ht="15" hidden="false" customHeight="false" outlineLevel="0" collapsed="false">
      <c r="A72" s="49" t="s">
        <v>1044</v>
      </c>
      <c r="B72" s="40" t="n">
        <f aca="false">SUM($B$69:$B$71)</f>
        <v>21</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customFormat="false" ht="15" hidden="false" customHeight="false" outlineLevel="0" collapsed="false">
      <c r="A73" s="49" t="s">
        <v>1045</v>
      </c>
      <c r="B73" s="40" t="str">
        <f aca="false">TEXT($B$72/1440,"h:mm")</f>
        <v>0:21</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customFormat="false" ht="19.5" hidden="false" customHeight="true" outlineLevel="0" collapsed="false">
      <c r="A75" s="33" t="s">
        <v>1046</v>
      </c>
      <c r="B75" s="33"/>
      <c r="C75" s="33"/>
      <c r="D75" s="33"/>
      <c r="E75" s="33"/>
      <c r="F75" s="33"/>
      <c r="G75" s="33"/>
      <c r="H75" s="33"/>
      <c r="I75" s="33"/>
      <c r="J75" s="33"/>
      <c r="K75" s="33"/>
      <c r="L75" s="33"/>
      <c r="M75" s="33"/>
      <c r="N75" s="33"/>
      <c r="O75" s="33"/>
      <c r="P75" s="33"/>
      <c r="Q75" s="2"/>
      <c r="R75" s="2"/>
      <c r="S75" s="2"/>
      <c r="T75" s="2"/>
      <c r="U75" s="2"/>
      <c r="V75" s="2"/>
      <c r="W75" s="2"/>
      <c r="X75" s="2"/>
      <c r="Y75" s="2"/>
      <c r="Z75" s="2"/>
      <c r="AA75" s="2"/>
      <c r="AB75" s="2"/>
      <c r="AC75" s="2"/>
      <c r="AD75" s="2"/>
      <c r="AE75" s="2"/>
      <c r="AF75" s="2"/>
      <c r="AG75" s="2"/>
      <c r="AH75" s="2"/>
      <c r="AI75" s="2"/>
      <c r="AJ75" s="2"/>
      <c r="AK75" s="2"/>
    </row>
    <row r="76" customFormat="false" ht="15" hidden="false" customHeight="false" outlineLevel="0" collapsed="false">
      <c r="A76" s="50" t="s">
        <v>56</v>
      </c>
      <c r="B76" s="50" t="s">
        <v>1047</v>
      </c>
      <c r="C76" s="2"/>
      <c r="D76" s="50" t="s">
        <v>55</v>
      </c>
      <c r="E76" s="50" t="s">
        <v>1047</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customFormat="false" ht="15" hidden="false" customHeight="false" outlineLevel="0" collapsed="false">
      <c r="A77" s="14" t="s">
        <v>215</v>
      </c>
      <c r="B77" s="48" t="n">
        <f aca="false">COUNTIF($E$30:$E$51,$A77)</f>
        <v>0</v>
      </c>
      <c r="C77" s="2"/>
      <c r="D77" s="14" t="s">
        <v>64</v>
      </c>
      <c r="E77" s="48" t="n">
        <f aca="false">COUNTIF($D$30:$D$51,$D77)</f>
        <v>0</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customFormat="false" ht="15" hidden="false" customHeight="false" outlineLevel="0" collapsed="false">
      <c r="A78" s="14" t="s">
        <v>142</v>
      </c>
      <c r="B78" s="48" t="n">
        <f aca="false">COUNTIF($E$30:$E$51,$A78)</f>
        <v>0</v>
      </c>
      <c r="C78" s="2"/>
      <c r="D78" s="14" t="s">
        <v>122</v>
      </c>
      <c r="E78" s="48" t="n">
        <f aca="false">COUNTIF($D$30:$D$51,$D78)</f>
        <v>0</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customFormat="false" ht="15" hidden="false" customHeight="false" outlineLevel="0" collapsed="false">
      <c r="A79" s="14" t="s">
        <v>264</v>
      </c>
      <c r="B79" s="48" t="n">
        <f aca="false">COUNTIF($E$30:$E$51,$A79)</f>
        <v>0</v>
      </c>
      <c r="C79" s="2"/>
      <c r="D79" s="14" t="s">
        <v>185</v>
      </c>
      <c r="E79" s="48" t="n">
        <f aca="false">COUNTIF($D$30:$D$51,$D79)</f>
        <v>0</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customFormat="false" ht="15" hidden="false" customHeight="false" outlineLevel="0" collapsed="false">
      <c r="A80" s="14" t="s">
        <v>410</v>
      </c>
      <c r="B80" s="48" t="n">
        <f aca="false">COUNTIF($E$30:$E$51,$A80)</f>
        <v>0</v>
      </c>
      <c r="C80" s="2"/>
      <c r="D80" s="14" t="s">
        <v>214</v>
      </c>
      <c r="E80" s="48" t="n">
        <f aca="false">COUNTIF($D$30:$D$51,$D80)</f>
        <v>0</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customFormat="false" ht="15" hidden="false" customHeight="false" outlineLevel="0" collapsed="false">
      <c r="A81" s="14" t="s">
        <v>364</v>
      </c>
      <c r="B81" s="48" t="n">
        <f aca="false">COUNTIF($E$30:$E$51,$A81)</f>
        <v>0</v>
      </c>
      <c r="C81" s="2"/>
      <c r="D81" s="14" t="s">
        <v>278</v>
      </c>
      <c r="E81" s="48" t="n">
        <f aca="false">COUNTIF($D$30:$D$51,$D81)</f>
        <v>0</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customFormat="false" ht="15" hidden="false" customHeight="false" outlineLevel="0" collapsed="false">
      <c r="A82" s="14" t="s">
        <v>224</v>
      </c>
      <c r="B82" s="48" t="n">
        <f aca="false">COUNTIF($E$30:$E$51,$A82)</f>
        <v>0</v>
      </c>
      <c r="C82" s="2"/>
      <c r="D82" s="14" t="s">
        <v>316</v>
      </c>
      <c r="E82" s="48" t="n">
        <f aca="false">COUNTIF($D$30:$D$51,$D82)</f>
        <v>0</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customFormat="false" ht="15" hidden="false" customHeight="false" outlineLevel="0" collapsed="false">
      <c r="A83" s="14" t="s">
        <v>554</v>
      </c>
      <c r="B83" s="48" t="n">
        <f aca="false">COUNTIF($E$30:$E$51,$A83)</f>
        <v>0</v>
      </c>
      <c r="C83" s="2"/>
      <c r="D83" s="14" t="s">
        <v>360</v>
      </c>
      <c r="E83" s="48" t="n">
        <f aca="false">COUNTIF($D$30:$D$51,$D83)</f>
        <v>0</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customFormat="false" ht="15" hidden="false" customHeight="false" outlineLevel="0" collapsed="false">
      <c r="A84" s="14" t="s">
        <v>65</v>
      </c>
      <c r="B84" s="48" t="n">
        <f aca="false">COUNTIF($E$30:$E$51,$A84)</f>
        <v>0</v>
      </c>
      <c r="C84" s="2"/>
      <c r="D84" s="14" t="s">
        <v>167</v>
      </c>
      <c r="E84" s="48" t="n">
        <f aca="false">COUNTIF($D$30:$D$51,$D84)</f>
        <v>0</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customFormat="false" ht="15" hidden="false" customHeight="false" outlineLevel="0" collapsed="false">
      <c r="A85" s="14" t="s">
        <v>123</v>
      </c>
      <c r="B85" s="48" t="n">
        <f aca="false">COUNTIF($E$30:$E$51,$A85)</f>
        <v>0</v>
      </c>
      <c r="C85" s="2"/>
      <c r="D85" s="14" t="s">
        <v>435</v>
      </c>
      <c r="E85" s="48" t="n">
        <f aca="false">COUNTIF($D$30:$D$51,$D85)</f>
        <v>0</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customFormat="false" ht="15" hidden="false" customHeight="false" outlineLevel="0" collapsed="false">
      <c r="A86" s="14" t="s">
        <v>101</v>
      </c>
      <c r="B86" s="48" t="n">
        <f aca="false">COUNTIF($E$30:$E$51,$A86)</f>
        <v>0</v>
      </c>
      <c r="C86" s="2"/>
      <c r="D86" s="14" t="s">
        <v>473</v>
      </c>
      <c r="E86" s="48" t="n">
        <f aca="false">COUNTIF($D$30:$D$51,$D86)</f>
        <v>0</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customFormat="false" ht="15" hidden="false" customHeight="false" outlineLevel="0" collapsed="false">
      <c r="A87" s="14" t="s">
        <v>202</v>
      </c>
      <c r="B87" s="48" t="n">
        <f aca="false">COUNTIF($E$30:$E$51,$A87)</f>
        <v>0</v>
      </c>
      <c r="C87" s="2"/>
      <c r="D87" s="14" t="s">
        <v>527</v>
      </c>
      <c r="E87" s="48" t="n">
        <f aca="false">COUNTIF($D$30:$D$51,$D87)</f>
        <v>0</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customFormat="false" ht="15" hidden="false" customHeight="false" outlineLevel="0" collapsed="false">
      <c r="A88" s="14" t="s">
        <v>459</v>
      </c>
      <c r="B88" s="48" t="n">
        <f aca="false">COUNTIF($E$30:$E$51,$A88)</f>
        <v>0</v>
      </c>
      <c r="C88" s="2"/>
      <c r="D88" s="14" t="s">
        <v>174</v>
      </c>
      <c r="E88" s="48" t="n">
        <f aca="false">COUNTIF($D$30:$D$51,$D88)</f>
        <v>0</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customFormat="false" ht="15" hidden="false" customHeight="false" outlineLevel="0" collapsed="false">
      <c r="A89" s="14" t="s">
        <v>118</v>
      </c>
      <c r="B89" s="48" t="n">
        <f aca="false">COUNTIF($E$30:$E$51,$A89)</f>
        <v>0</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customFormat="false" ht="15" hidden="false" customHeight="false" outlineLevel="0" collapsed="false">
      <c r="A90" s="14" t="s">
        <v>390</v>
      </c>
      <c r="B90" s="48" t="n">
        <f aca="false">COUNTIF($E$30:$E$51,$A90)</f>
        <v>0</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sheetData>
  <mergeCells count="24">
    <mergeCell ref="F12:M12"/>
    <mergeCell ref="F13:M13"/>
    <mergeCell ref="F14:M14"/>
    <mergeCell ref="F15:M15"/>
    <mergeCell ref="F16:M16"/>
    <mergeCell ref="F17:M17"/>
    <mergeCell ref="F18:M18"/>
    <mergeCell ref="F19:M19"/>
    <mergeCell ref="F20:M20"/>
    <mergeCell ref="F21:M21"/>
    <mergeCell ref="F22:M22"/>
    <mergeCell ref="F23:M23"/>
    <mergeCell ref="F24:M24"/>
    <mergeCell ref="F25:M25"/>
    <mergeCell ref="F56:M56"/>
    <mergeCell ref="F57:M57"/>
    <mergeCell ref="F58:M58"/>
    <mergeCell ref="F59:M59"/>
    <mergeCell ref="F60:M60"/>
    <mergeCell ref="F61:M61"/>
    <mergeCell ref="F62:M62"/>
    <mergeCell ref="F63:M63"/>
    <mergeCell ref="F64:M64"/>
    <mergeCell ref="F65:M65"/>
  </mergeCells>
  <dataValidations count="4">
    <dataValidation allowBlank="false" errorStyle="stop" operator="between" showDropDown="false" showErrorMessage="false" showInputMessage="false" sqref="B5" type="list">
      <formula1>"Explosivity,Strength,Muscular endurance"</formula1>
      <formula2>0</formula2>
    </dataValidation>
    <dataValidation allowBlank="false" errorStyle="stop" operator="between" showDropDown="false" showErrorMessage="false" showInputMessage="false" sqref="B6" type="list">
      <formula1>"0,5,8,10,12,15,20,25,30"</formula1>
      <formula2>0</formula2>
    </dataValidation>
    <dataValidation allowBlank="false" errorStyle="stop" operator="between" showDropDown="false" showErrorMessage="false" showInputMessage="false" sqref="B7" type="list">
      <formula1>"0,5,8,10,12,15,20"</formula1>
      <formula2>0</formula2>
    </dataValidation>
    <dataValidation allowBlank="true" errorStyle="stop" operator="between" showDropDown="false" showErrorMessage="false" showInputMessage="false" sqref="B30:B51" type="list">
      <formula1>ExPick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4" min="3" style="0" width="18"/>
    <col collapsed="false" customWidth="true" hidden="false" outlineLevel="0" max="5" min="5" style="0" width="12"/>
    <col collapsed="false" customWidth="true" hidden="false" outlineLevel="0" max="6" min="6" style="0" width="22"/>
    <col collapsed="false" customWidth="true" hidden="false" outlineLevel="0" max="7" min="7" style="0" width="15"/>
    <col collapsed="false" customWidth="true" hidden="false" outlineLevel="0" max="8" min="8" style="0" width="7"/>
    <col collapsed="false" customWidth="true" hidden="false" outlineLevel="0" max="9" min="9" style="0" width="17"/>
    <col collapsed="false" customWidth="true" hidden="false" outlineLevel="0" max="10" min="10" style="0" width="20"/>
    <col collapsed="false" customWidth="true" hidden="false" outlineLevel="0" max="11" min="11" style="0" width="17"/>
    <col collapsed="false" customWidth="true" hidden="false" outlineLevel="0" max="12" min="12" style="0" width="11"/>
    <col collapsed="false" customWidth="true" hidden="false" outlineLevel="0" max="13" min="13" style="0" width="44"/>
    <col collapsed="false" customWidth="true" hidden="false" outlineLevel="0" max="14" min="14" style="0" width="13"/>
    <col collapsed="false" customWidth="true" hidden="false" outlineLevel="0" max="15" min="15" style="0" width="26"/>
    <col collapsed="false" customWidth="true" hidden="false" outlineLevel="0" max="16" min="16" style="0" width="9"/>
    <col collapsed="false" customWidth="true" hidden="true" outlineLevel="0" max="23" min="18" style="0" width="13"/>
    <col collapsed="false" customWidth="true" hidden="true" outlineLevel="0" max="30" min="25" style="0" width="13"/>
    <col collapsed="false" customWidth="true" hidden="true" outlineLevel="0" max="37" min="32" style="0" width="13"/>
  </cols>
  <sheetData>
    <row r="1" customFormat="false" ht="24" hidden="false" customHeight="true" outlineLevel="0" collapsed="false">
      <c r="A1" s="1" t="s">
        <v>1049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customFormat="false" ht="15" hidden="false" customHeight="false" outlineLevel="0" collapsed="false">
      <c r="A3" s="30" t="s">
        <v>1014</v>
      </c>
      <c r="B3" s="15"/>
      <c r="C3" s="2"/>
      <c r="D3" s="8" t="s">
        <v>1016</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customFormat="false" ht="15" hidden="false" customHeight="false" outlineLevel="0" collapsed="false">
      <c r="A4" s="30" t="s">
        <v>1017</v>
      </c>
      <c r="B4" s="3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customFormat="false" ht="15" hidden="false" customHeight="false" outlineLevel="0" collapsed="false">
      <c r="A5" s="30" t="s">
        <v>926</v>
      </c>
      <c r="B5" s="15" t="s">
        <v>943</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customFormat="false" ht="15" hidden="false" customHeight="false" outlineLevel="0" collapsed="false">
      <c r="A6" s="30" t="s">
        <v>1018</v>
      </c>
      <c r="B6" s="32" t="n">
        <v>15</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customFormat="false" ht="15" hidden="false" customHeight="false" outlineLevel="0" collapsed="false">
      <c r="A7" s="30" t="s">
        <v>1019</v>
      </c>
      <c r="B7" s="32" t="n">
        <v>8</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customFormat="false" ht="15" hidden="false" customHeight="false" outlineLevel="0" collapsed="false">
      <c r="A8" s="30" t="s">
        <v>1020</v>
      </c>
      <c r="B8" s="15"/>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row>
    <row r="9" customFormat="false" ht="15"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row>
    <row r="10" customFormat="false" ht="19.5" hidden="false" customHeight="true" outlineLevel="0" collapsed="false">
      <c r="A10" s="33" t="s">
        <v>1022</v>
      </c>
      <c r="B10" s="33"/>
      <c r="C10" s="33"/>
      <c r="D10" s="33"/>
      <c r="E10" s="33"/>
      <c r="F10" s="33"/>
      <c r="G10" s="33"/>
      <c r="H10" s="33"/>
      <c r="I10" s="33"/>
      <c r="J10" s="33"/>
      <c r="K10" s="33"/>
      <c r="L10" s="33"/>
      <c r="M10" s="33"/>
      <c r="N10" s="33"/>
      <c r="O10" s="33"/>
      <c r="P10" s="33"/>
      <c r="Q10" s="2"/>
      <c r="R10" s="2"/>
      <c r="S10" s="2"/>
      <c r="T10" s="2"/>
      <c r="U10" s="2"/>
      <c r="V10" s="2"/>
      <c r="W10" s="2"/>
      <c r="X10" s="2"/>
      <c r="Y10" s="2"/>
      <c r="Z10" s="2"/>
      <c r="AA10" s="2"/>
      <c r="AB10" s="2"/>
      <c r="AC10" s="2"/>
      <c r="AD10" s="2"/>
      <c r="AE10" s="2"/>
      <c r="AF10" s="2"/>
      <c r="AG10" s="2"/>
      <c r="AH10" s="2"/>
      <c r="AI10" s="2"/>
      <c r="AJ10" s="2"/>
      <c r="AK10" s="2"/>
    </row>
    <row r="11" customFormat="false" ht="19.5" hidden="false" customHeight="true" outlineLevel="0" collapsed="false">
      <c r="A11" s="9" t="s">
        <v>1023</v>
      </c>
      <c r="B11" s="9" t="s">
        <v>648</v>
      </c>
      <c r="C11" s="9" t="s">
        <v>649</v>
      </c>
      <c r="D11" s="9" t="s">
        <v>1024</v>
      </c>
      <c r="E11" s="9" t="s">
        <v>1025</v>
      </c>
      <c r="F11" s="9" t="s">
        <v>654</v>
      </c>
      <c r="G11" s="34"/>
      <c r="H11" s="34"/>
      <c r="I11" s="34"/>
      <c r="J11" s="34"/>
      <c r="K11" s="34"/>
      <c r="L11" s="34"/>
      <c r="M11" s="34"/>
      <c r="N11" s="2"/>
      <c r="O11" s="2"/>
      <c r="P11" s="2"/>
      <c r="Q11" s="2"/>
      <c r="R11" s="2"/>
      <c r="S11" s="2"/>
      <c r="T11" s="2"/>
      <c r="U11" s="2"/>
      <c r="V11" s="2"/>
      <c r="W11" s="2"/>
      <c r="X11" s="2"/>
      <c r="Y11" s="2"/>
      <c r="Z11" s="2"/>
      <c r="AA11" s="2"/>
      <c r="AB11" s="2"/>
      <c r="AC11" s="2"/>
      <c r="AD11" s="2"/>
      <c r="AE11" s="2"/>
      <c r="AF11" s="2"/>
      <c r="AG11" s="2"/>
      <c r="AH11" s="2"/>
      <c r="AI11" s="2"/>
      <c r="AJ11" s="2"/>
      <c r="AK11" s="2"/>
    </row>
    <row r="12" customFormat="false" ht="24" hidden="false" customHeight="true" outlineLevel="0" collapsed="false">
      <c r="A12" s="35" t="n">
        <v>1</v>
      </c>
      <c r="B12" s="36" t="str">
        <f aca="false">IFERROR(INDEX(WuName,MATCH(1,$AD$12:$AD$60,0)),"")</f>
        <v>Easy cardio</v>
      </c>
      <c r="C12" s="36" t="str">
        <f aca="false">IF($B12="","",INDEX(WuPhase,MATCH(1,$AD$12:$AD$60,0)))</f>
        <v>1 Raise</v>
      </c>
      <c r="D12" s="36" t="str">
        <f aca="false">IF($B12="","",INDEX(WuTrigger,MATCH(1,$AD$12:$AD$60,0)))</f>
        <v>Always</v>
      </c>
      <c r="E12" s="35" t="n">
        <f aca="false">IF($B12="","",INDEX(WuMin,MATCH(1,$AD$12:$AD$60,0)))</f>
        <v>4</v>
      </c>
      <c r="F12" s="37" t="str">
        <f aca="false">IF($B12="","",INDEX(WuHow,MATCH(1,$AD$12:$AD$60,0)))</f>
        <v>Bike, row or ski erg at a conversational pace until you break a light sweat.</v>
      </c>
      <c r="G12" s="37"/>
      <c r="H12" s="37"/>
      <c r="I12" s="37"/>
      <c r="J12" s="37"/>
      <c r="K12" s="37"/>
      <c r="L12" s="37"/>
      <c r="M12" s="37"/>
      <c r="N12" s="2"/>
      <c r="O12" s="2"/>
      <c r="P12" s="2"/>
      <c r="Q12" s="2"/>
      <c r="R12" s="2"/>
      <c r="S12" s="2"/>
      <c r="T12" s="2"/>
      <c r="U12" s="2"/>
      <c r="V12" s="2"/>
      <c r="W12" s="2"/>
      <c r="X12" s="2"/>
      <c r="Y12" s="2" t="n">
        <f aca="false">IF(OR(INDEX(WuTrigger,1)="Always",COUNTIF($D$30:$D$51,INDEX(WuTrigger,1))&gt;0,COUNTIF($E$30:$E$51,INDEX(WuTrigger,1))&gt;0),1,0)</f>
        <v>1</v>
      </c>
      <c r="Z12" s="2" t="n">
        <f aca="false">INDEX(WuPriority,1)*1000+1</f>
        <v>1001</v>
      </c>
      <c r="AA12" s="2" t="n">
        <f aca="false">IF($Y12=0,"",SUMIFS(WuMin,$Y$12:$Y$60,1,$Z$12:$Z$60,"&lt;="&amp;$Z12))</f>
        <v>4</v>
      </c>
      <c r="AB12" s="2" t="n">
        <f aca="false">IF(AND($Y12=1,$AA12&lt;=$B$6),1,0)</f>
        <v>1</v>
      </c>
      <c r="AC12" s="2" t="n">
        <f aca="false">INDEX(WuPhaseN,1)*1000+1</f>
        <v>1001</v>
      </c>
      <c r="AD12" s="2" t="n">
        <f aca="false">IF($AB12=0,"",COUNTIFS($AB$12:$AB$60,1,$AC$12:$AC$60,"&lt;"&amp;$AC12)+1)</f>
        <v>1</v>
      </c>
      <c r="AE12" s="2"/>
      <c r="AF12" s="2" t="n">
        <f aca="false">IF(OR(INDEX(MoTarget,1)="Always",COUNTIF($E$30:$E$51,INDEX(MoTarget,1))&gt;0,COUNTIF($F$30:$F$51,"*"&amp;INDEX(MoTarget,1)&amp;"*")&gt;0),1,0)</f>
        <v>1</v>
      </c>
      <c r="AG12" s="2" t="n">
        <f aca="false">INDEX(MoPriority,1)*1000+1</f>
        <v>1001</v>
      </c>
      <c r="AH12" s="2" t="n">
        <f aca="false">IF($AF12=0,"",SUMIFS(MoMin,$AF$12:$AF$54,1,$AG$12:$AG$54,"&lt;="&amp;$AG12))</f>
        <v>2</v>
      </c>
      <c r="AI12" s="2" t="n">
        <f aca="false">IF(AND($AF12=1,$AH12&lt;=$B$7),1,0)</f>
        <v>1</v>
      </c>
      <c r="AJ12" s="2" t="n">
        <f aca="false">INDEX(MoTypeN,1)*1000+1</f>
        <v>1001</v>
      </c>
      <c r="AK12" s="2" t="n">
        <f aca="false">IF($AI12=0,"",COUNTIFS($AI$12:$AI$54,1,$AJ$12:$AJ$54,"&lt;"&amp;$AJ12)+1)</f>
        <v>1</v>
      </c>
    </row>
    <row r="13" customFormat="false" ht="24" hidden="false" customHeight="true" outlineLevel="0" collapsed="false">
      <c r="A13" s="35" t="n">
        <v>2</v>
      </c>
      <c r="B13" s="36" t="str">
        <f aca="false">IFERROR(INDEX(WuName,MATCH(2,$AD$12:$AD$60,0)),"")</f>
        <v>Joint circles</v>
      </c>
      <c r="C13" s="36" t="str">
        <f aca="false">IF($B13="","",INDEX(WuPhase,MATCH(2,$AD$12:$AD$60,0)))</f>
        <v>2 Mobilise</v>
      </c>
      <c r="D13" s="36" t="str">
        <f aca="false">IF($B13="","",INDEX(WuTrigger,MATCH(2,$AD$12:$AD$60,0)))</f>
        <v>Always</v>
      </c>
      <c r="E13" s="35" t="n">
        <f aca="false">IF($B13="","",INDEX(WuMin,MATCH(2,$AD$12:$AD$60,0)))</f>
        <v>2</v>
      </c>
      <c r="F13" s="37" t="str">
        <f aca="false">IF($B13="","",INDEX(WuHow,MATCH(2,$AD$12:$AD$60,0)))</f>
        <v>Ankles, hips, thoracic spine, shoulders. 10 slow circles each direction.</v>
      </c>
      <c r="G13" s="37"/>
      <c r="H13" s="37"/>
      <c r="I13" s="37"/>
      <c r="J13" s="37"/>
      <c r="K13" s="37"/>
      <c r="L13" s="37"/>
      <c r="M13" s="37"/>
      <c r="N13" s="2"/>
      <c r="O13" s="2"/>
      <c r="P13" s="2"/>
      <c r="Q13" s="2"/>
      <c r="R13" s="2"/>
      <c r="S13" s="2"/>
      <c r="T13" s="2"/>
      <c r="U13" s="2"/>
      <c r="V13" s="2"/>
      <c r="W13" s="2"/>
      <c r="X13" s="2"/>
      <c r="Y13" s="2" t="n">
        <f aca="false">IF(OR(INDEX(WuTrigger,2)="Always",COUNTIF($D$30:$D$51,INDEX(WuTrigger,2))&gt;0,COUNTIF($E$30:$E$51,INDEX(WuTrigger,2))&gt;0),1,0)</f>
        <v>1</v>
      </c>
      <c r="Z13" s="2" t="n">
        <f aca="false">INDEX(WuPriority,2)*1000+2</f>
        <v>5002</v>
      </c>
      <c r="AA13" s="2" t="n">
        <f aca="false">IF($Y13=0,"",SUMIFS(WuMin,$Y$12:$Y$60,1,$Z$12:$Z$60,"&lt;="&amp;$Z13))</f>
        <v>14</v>
      </c>
      <c r="AB13" s="2" t="n">
        <f aca="false">IF(AND($Y13=1,$AA13&lt;=$B$6),1,0)</f>
        <v>1</v>
      </c>
      <c r="AC13" s="2" t="n">
        <f aca="false">INDEX(WuPhaseN,2)*1000+2</f>
        <v>2002</v>
      </c>
      <c r="AD13" s="2" t="n">
        <f aca="false">IF($AB13=0,"",COUNTIFS($AB$12:$AB$60,1,$AC$12:$AC$60,"&lt;"&amp;$AC13)+1)</f>
        <v>2</v>
      </c>
      <c r="AE13" s="2"/>
      <c r="AF13" s="2" t="n">
        <f aca="false">IF(OR(INDEX(MoTarget,2)="Always",COUNTIF($E$30:$E$51,INDEX(MoTarget,2))&gt;0,COUNTIF($F$30:$F$51,"*"&amp;INDEX(MoTarget,2)&amp;"*")&gt;0),1,0)</f>
        <v>1</v>
      </c>
      <c r="AG13" s="2" t="n">
        <f aca="false">INDEX(MoPriority,2)*1000+2</f>
        <v>2002</v>
      </c>
      <c r="AH13" s="2" t="n">
        <f aca="false">IF($AF13=0,"",SUMIFS(MoMin,$AF$12:$AF$54,1,$AG$12:$AG$54,"&lt;="&amp;$AG13))</f>
        <v>4</v>
      </c>
      <c r="AI13" s="2" t="n">
        <f aca="false">IF(AND($AF13=1,$AH13&lt;=$B$7),1,0)</f>
        <v>1</v>
      </c>
      <c r="AJ13" s="2" t="n">
        <f aca="false">INDEX(MoTypeN,2)*1000+2</f>
        <v>1002</v>
      </c>
      <c r="AK13" s="2" t="n">
        <f aca="false">IF($AI13=0,"",COUNTIFS($AI$12:$AI$54,1,$AJ$12:$AJ$54,"&lt;"&amp;$AJ13)+1)</f>
        <v>2</v>
      </c>
    </row>
    <row r="14" customFormat="false" ht="24" hidden="false" customHeight="true" outlineLevel="0" collapsed="false">
      <c r="A14" s="35" t="n">
        <v>3</v>
      </c>
      <c r="B14" s="36" t="str">
        <f aca="false">IFERROR(INDEX(WuName,MATCH(3,$AD$12:$AD$60,0)),"")</f>
        <v>World's Greatest Stretch</v>
      </c>
      <c r="C14" s="36" t="str">
        <f aca="false">IF($B14="","",INDEX(WuPhase,MATCH(3,$AD$12:$AD$60,0)))</f>
        <v>2 Mobilise</v>
      </c>
      <c r="D14" s="36" t="str">
        <f aca="false">IF($B14="","",INDEX(WuTrigger,MATCH(3,$AD$12:$AD$60,0)))</f>
        <v>Always</v>
      </c>
      <c r="E14" s="35" t="n">
        <f aca="false">IF($B14="","",INDEX(WuMin,MATCH(3,$AD$12:$AD$60,0)))</f>
        <v>3</v>
      </c>
      <c r="F14" s="37" t="str">
        <f aca="false">IF($B14="","",INDEX(WuHow,MATCH(3,$AD$12:$AD$60,0)))</f>
        <v>Lunge, elbow to instep, rotate open. 5 per side, no rush.</v>
      </c>
      <c r="G14" s="37"/>
      <c r="H14" s="37"/>
      <c r="I14" s="37"/>
      <c r="J14" s="37"/>
      <c r="K14" s="37"/>
      <c r="L14" s="37"/>
      <c r="M14" s="37"/>
      <c r="N14" s="2"/>
      <c r="O14" s="2"/>
      <c r="P14" s="2"/>
      <c r="Q14" s="2"/>
      <c r="R14" s="2"/>
      <c r="S14" s="2"/>
      <c r="T14" s="2"/>
      <c r="U14" s="2"/>
      <c r="V14" s="2"/>
      <c r="W14" s="2"/>
      <c r="X14" s="2"/>
      <c r="Y14" s="2" t="n">
        <f aca="false">IF(OR(INDEX(WuTrigger,3)="Always",COUNTIF($D$30:$D$51,INDEX(WuTrigger,3))&gt;0,COUNTIF($E$30:$E$51,INDEX(WuTrigger,3))&gt;0),1,0)</f>
        <v>1</v>
      </c>
      <c r="Z14" s="2" t="n">
        <f aca="false">INDEX(WuPriority,3)*1000+3</f>
        <v>4003</v>
      </c>
      <c r="AA14" s="2" t="n">
        <f aca="false">IF($Y14=0,"",SUMIFS(WuMin,$Y$12:$Y$60,1,$Z$12:$Z$60,"&lt;="&amp;$Z14))</f>
        <v>12</v>
      </c>
      <c r="AB14" s="2" t="n">
        <f aca="false">IF(AND($Y14=1,$AA14&lt;=$B$6),1,0)</f>
        <v>1</v>
      </c>
      <c r="AC14" s="2" t="n">
        <f aca="false">INDEX(WuPhaseN,3)*1000+3</f>
        <v>2003</v>
      </c>
      <c r="AD14" s="2" t="n">
        <f aca="false">IF($AB14=0,"",COUNTIFS($AB$12:$AB$60,1,$AC$12:$AC$60,"&lt;"&amp;$AC14)+1)</f>
        <v>3</v>
      </c>
      <c r="AE14" s="2"/>
      <c r="AF14" s="2" t="n">
        <f aca="false">IF(OR(INDEX(MoTarget,3)="Always",COUNTIF($E$30:$E$51,INDEX(MoTarget,3))&gt;0,COUNTIF($F$30:$F$51,"*"&amp;INDEX(MoTarget,3)&amp;"*")&gt;0),1,0)</f>
        <v>1</v>
      </c>
      <c r="AG14" s="2" t="n">
        <f aca="false">INDEX(MoPriority,3)*1000+3</f>
        <v>3003</v>
      </c>
      <c r="AH14" s="2" t="n">
        <f aca="false">IF($AF14=0,"",SUMIFS(MoMin,$AF$12:$AF$54,1,$AG$12:$AG$54,"&lt;="&amp;$AG14))</f>
        <v>7</v>
      </c>
      <c r="AI14" s="2" t="n">
        <f aca="false">IF(AND($AF14=1,$AH14&lt;=$B$7),1,0)</f>
        <v>1</v>
      </c>
      <c r="AJ14" s="2" t="n">
        <f aca="false">INDEX(MoTypeN,3)*1000+3</f>
        <v>1003</v>
      </c>
      <c r="AK14" s="2" t="n">
        <f aca="false">IF($AI14=0,"",COUNTIFS($AI$12:$AI$54,1,$AJ$12:$AJ$54,"&lt;"&amp;$AJ14)+1)</f>
        <v>3</v>
      </c>
    </row>
    <row r="15" customFormat="false" ht="24" hidden="false" customHeight="true" outlineLevel="0" collapsed="false">
      <c r="A15" s="35" t="n">
        <v>4</v>
      </c>
      <c r="B15" s="36" t="str">
        <f aca="false">IFERROR(INDEX(WuName,MATCH(4,$AD$12:$AD$60,0)),"")</f>
        <v>Specific ramp-up sets</v>
      </c>
      <c r="C15" s="36" t="str">
        <f aca="false">IF($B15="","",INDEX(WuPhase,MATCH(4,$AD$12:$AD$60,0)))</f>
        <v>4 Specific</v>
      </c>
      <c r="D15" s="36" t="str">
        <f aca="false">IF($B15="","",INDEX(WuTrigger,MATCH(4,$AD$12:$AD$60,0)))</f>
        <v>Always</v>
      </c>
      <c r="E15" s="35" t="n">
        <f aca="false">IF($B15="","",INDEX(WuMin,MATCH(4,$AD$12:$AD$60,0)))</f>
        <v>5</v>
      </c>
      <c r="F15" s="37" t="str">
        <f aca="false">IF($B15="","",INDEX(WuHow,MATCH(4,$AD$12:$AD$60,0)))</f>
        <v>2–4 progressively heavier sets of your first main lift: roughly 40%, 60%, 80% of the working weight.</v>
      </c>
      <c r="G15" s="37"/>
      <c r="H15" s="37"/>
      <c r="I15" s="37"/>
      <c r="J15" s="37"/>
      <c r="K15" s="37"/>
      <c r="L15" s="37"/>
      <c r="M15" s="37"/>
      <c r="N15" s="2"/>
      <c r="O15" s="2"/>
      <c r="P15" s="2"/>
      <c r="Q15" s="2"/>
      <c r="R15" s="2"/>
      <c r="S15" s="2"/>
      <c r="T15" s="2"/>
      <c r="U15" s="2"/>
      <c r="V15" s="2"/>
      <c r="W15" s="2"/>
      <c r="X15" s="2"/>
      <c r="Y15" s="2" t="n">
        <f aca="false">IF(OR(INDEX(WuTrigger,4)="Always",COUNTIF($D$30:$D$51,INDEX(WuTrigger,4))&gt;0,COUNTIF($E$30:$E$51,INDEX(WuTrigger,4))&gt;0),1,0)</f>
        <v>1</v>
      </c>
      <c r="Z15" s="2" t="n">
        <f aca="false">INDEX(WuPriority,4)*1000+4</f>
        <v>2004</v>
      </c>
      <c r="AA15" s="2" t="n">
        <f aca="false">IF($Y15=0,"",SUMIFS(WuMin,$Y$12:$Y$60,1,$Z$12:$Z$60,"&lt;="&amp;$Z15))</f>
        <v>9</v>
      </c>
      <c r="AB15" s="2" t="n">
        <f aca="false">IF(AND($Y15=1,$AA15&lt;=$B$6),1,0)</f>
        <v>1</v>
      </c>
      <c r="AC15" s="2" t="n">
        <f aca="false">INDEX(WuPhaseN,4)*1000+4</f>
        <v>4004</v>
      </c>
      <c r="AD15" s="2" t="n">
        <f aca="false">IF($AB15=0,"",COUNTIFS($AB$12:$AB$60,1,$AC$12:$AC$60,"&lt;"&amp;$AC15)+1)</f>
        <v>4</v>
      </c>
      <c r="AE15" s="2"/>
      <c r="AF15" s="2" t="n">
        <f aca="false">IF(OR(INDEX(MoTarget,4)="Always",COUNTIF($E$30:$E$51,INDEX(MoTarget,4))&gt;0,COUNTIF($F$30:$F$51,"*"&amp;INDEX(MoTarget,4)&amp;"*")&gt;0),1,0)</f>
        <v>1</v>
      </c>
      <c r="AG15" s="2" t="n">
        <f aca="false">INDEX(MoPriority,4)*1000+4</f>
        <v>4004</v>
      </c>
      <c r="AH15" s="2" t="n">
        <f aca="false">IF($AF15=0,"",SUMIFS(MoMin,$AF$12:$AF$54,1,$AG$12:$AG$54,"&lt;="&amp;$AG15))</f>
        <v>9</v>
      </c>
      <c r="AI15" s="2" t="n">
        <f aca="false">IF(AND($AF15=1,$AH15&lt;=$B$7),1,0)</f>
        <v>0</v>
      </c>
      <c r="AJ15" s="2" t="n">
        <f aca="false">INDEX(MoTypeN,4)*1000+4</f>
        <v>5004</v>
      </c>
      <c r="AK15" s="2" t="str">
        <f aca="false">IF($AI15=0,"",COUNTIFS($AI$12:$AI$54,1,$AJ$12:$AJ$54,"&lt;"&amp;$AJ15)+1)</f>
        <v/>
      </c>
    </row>
    <row r="16" customFormat="false" ht="24" hidden="false" customHeight="true" outlineLevel="0" collapsed="false">
      <c r="A16" s="35" t="n">
        <v>5</v>
      </c>
      <c r="B16" s="36" t="str">
        <f aca="false">IFERROR(INDEX(WuName,MATCH(5,$AD$12:$AD$60,0)),"")</f>
        <v/>
      </c>
      <c r="C16" s="36" t="str">
        <f aca="false">IF($B16="","",INDEX(WuPhase,MATCH(5,$AD$12:$AD$60,0)))</f>
        <v/>
      </c>
      <c r="D16" s="36" t="str">
        <f aca="false">IF($B16="","",INDEX(WuTrigger,MATCH(5,$AD$12:$AD$60,0)))</f>
        <v/>
      </c>
      <c r="E16" s="35" t="str">
        <f aca="false">IF($B16="","",INDEX(WuMin,MATCH(5,$AD$12:$AD$60,0)))</f>
        <v/>
      </c>
      <c r="F16" s="37" t="str">
        <f aca="false">IF($B16="","",INDEX(WuHow,MATCH(5,$AD$12:$AD$60,0)))</f>
        <v/>
      </c>
      <c r="G16" s="37"/>
      <c r="H16" s="37"/>
      <c r="I16" s="37"/>
      <c r="J16" s="37"/>
      <c r="K16" s="37"/>
      <c r="L16" s="37"/>
      <c r="M16" s="37"/>
      <c r="N16" s="2"/>
      <c r="O16" s="2"/>
      <c r="P16" s="2"/>
      <c r="Q16" s="2"/>
      <c r="R16" s="2"/>
      <c r="S16" s="2"/>
      <c r="T16" s="2"/>
      <c r="U16" s="2"/>
      <c r="V16" s="2"/>
      <c r="W16" s="2"/>
      <c r="X16" s="2"/>
      <c r="Y16" s="2" t="n">
        <f aca="false">IF(OR(INDEX(WuTrigger,5)="Always",COUNTIF($D$30:$D$51,INDEX(WuTrigger,5))&gt;0,COUNTIF($E$30:$E$51,INDEX(WuTrigger,5))&gt;0),1,0)</f>
        <v>0</v>
      </c>
      <c r="Z16" s="2" t="n">
        <f aca="false">INDEX(WuPriority,5)*1000+5</f>
        <v>5005</v>
      </c>
      <c r="AA16" s="2" t="str">
        <f aca="false">IF($Y16=0,"",SUMIFS(WuMin,$Y$12:$Y$60,1,$Z$12:$Z$60,"&lt;="&amp;$Z16))</f>
        <v/>
      </c>
      <c r="AB16" s="2" t="n">
        <f aca="false">IF(AND($Y16=1,$AA16&lt;=$B$6),1,0)</f>
        <v>0</v>
      </c>
      <c r="AC16" s="2" t="n">
        <f aca="false">INDEX(WuPhaseN,5)*1000+5</f>
        <v>2005</v>
      </c>
      <c r="AD16" s="2" t="str">
        <f aca="false">IF($AB16=0,"",COUNTIFS($AB$12:$AB$60,1,$AC$12:$AC$60,"&lt;"&amp;$AC16)+1)</f>
        <v/>
      </c>
      <c r="AE16" s="2"/>
      <c r="AF16" s="2" t="n">
        <f aca="false">IF(OR(INDEX(MoTarget,5)="Always",COUNTIF($E$30:$E$51,INDEX(MoTarget,5))&gt;0,COUNTIF($F$30:$F$51,"*"&amp;INDEX(MoTarget,5)&amp;"*")&gt;0),1,0)</f>
        <v>1</v>
      </c>
      <c r="AG16" s="2" t="n">
        <f aca="false">INDEX(MoPriority,5)*1000+5</f>
        <v>6005</v>
      </c>
      <c r="AH16" s="2" t="n">
        <f aca="false">IF($AF16=0,"",SUMIFS(MoMin,$AF$12:$AF$54,1,$AG$12:$AG$54,"&lt;="&amp;$AG16))</f>
        <v>12</v>
      </c>
      <c r="AI16" s="2" t="n">
        <f aca="false">IF(AND($AF16=1,$AH16&lt;=$B$7),1,0)</f>
        <v>0</v>
      </c>
      <c r="AJ16" s="2" t="n">
        <f aca="false">INDEX(MoTypeN,5)*1000+5</f>
        <v>5005</v>
      </c>
      <c r="AK16" s="2" t="str">
        <f aca="false">IF($AI16=0,"",COUNTIFS($AI$12:$AI$54,1,$AJ$12:$AJ$54,"&lt;"&amp;$AJ16)+1)</f>
        <v/>
      </c>
    </row>
    <row r="17" customFormat="false" ht="24" hidden="false" customHeight="true" outlineLevel="0" collapsed="false">
      <c r="A17" s="35" t="n">
        <v>6</v>
      </c>
      <c r="B17" s="36" t="str">
        <f aca="false">IFERROR(INDEX(WuName,MATCH(6,$AD$12:$AD$60,0)),"")</f>
        <v/>
      </c>
      <c r="C17" s="36" t="str">
        <f aca="false">IF($B17="","",INDEX(WuPhase,MATCH(6,$AD$12:$AD$60,0)))</f>
        <v/>
      </c>
      <c r="D17" s="36" t="str">
        <f aca="false">IF($B17="","",INDEX(WuTrigger,MATCH(6,$AD$12:$AD$60,0)))</f>
        <v/>
      </c>
      <c r="E17" s="35" t="str">
        <f aca="false">IF($B17="","",INDEX(WuMin,MATCH(6,$AD$12:$AD$60,0)))</f>
        <v/>
      </c>
      <c r="F17" s="37" t="str">
        <f aca="false">IF($B17="","",INDEX(WuHow,MATCH(6,$AD$12:$AD$60,0)))</f>
        <v/>
      </c>
      <c r="G17" s="37"/>
      <c r="H17" s="37"/>
      <c r="I17" s="37"/>
      <c r="J17" s="37"/>
      <c r="K17" s="37"/>
      <c r="L17" s="37"/>
      <c r="M17" s="37"/>
      <c r="N17" s="2"/>
      <c r="O17" s="2"/>
      <c r="P17" s="2"/>
      <c r="Q17" s="2"/>
      <c r="R17" s="2"/>
      <c r="S17" s="2"/>
      <c r="T17" s="2"/>
      <c r="U17" s="2"/>
      <c r="V17" s="2"/>
      <c r="W17" s="2"/>
      <c r="X17" s="2"/>
      <c r="Y17" s="2" t="n">
        <f aca="false">IF(OR(INDEX(WuTrigger,6)="Always",COUNTIF($D$30:$D$51,INDEX(WuTrigger,6))&gt;0,COUNTIF($E$30:$E$51,INDEX(WuTrigger,6))&gt;0),1,0)</f>
        <v>0</v>
      </c>
      <c r="Z17" s="2" t="n">
        <f aca="false">INDEX(WuPriority,6)*1000+6</f>
        <v>6006</v>
      </c>
      <c r="AA17" s="2" t="str">
        <f aca="false">IF($Y17=0,"",SUMIFS(WuMin,$Y$12:$Y$60,1,$Z$12:$Z$60,"&lt;="&amp;$Z17))</f>
        <v/>
      </c>
      <c r="AB17" s="2" t="n">
        <f aca="false">IF(AND($Y17=1,$AA17&lt;=$B$6),1,0)</f>
        <v>0</v>
      </c>
      <c r="AC17" s="2" t="n">
        <f aca="false">INDEX(WuPhaseN,6)*1000+6</f>
        <v>2006</v>
      </c>
      <c r="AD17" s="2" t="str">
        <f aca="false">IF($AB17=0,"",COUNTIFS($AB$12:$AB$60,1,$AC$12:$AC$60,"&lt;"&amp;$AC17)+1)</f>
        <v/>
      </c>
      <c r="AE17" s="2"/>
      <c r="AF17" s="2" t="n">
        <f aca="false">IF(OR(INDEX(MoTarget,6)="Always",COUNTIF($E$30:$E$51,INDEX(MoTarget,6))&gt;0,COUNTIF($F$30:$F$51,"*"&amp;INDEX(MoTarget,6)&amp;"*")&gt;0),1,0)</f>
        <v>1</v>
      </c>
      <c r="AG17" s="2" t="n">
        <f aca="false">INDEX(MoPriority,6)*1000+6</f>
        <v>7006</v>
      </c>
      <c r="AH17" s="2" t="n">
        <f aca="false">IF($AF17=0,"",SUMIFS(MoMin,$AF$12:$AF$54,1,$AG$12:$AG$54,"&lt;="&amp;$AG17))</f>
        <v>18</v>
      </c>
      <c r="AI17" s="2" t="n">
        <f aca="false">IF(AND($AF17=1,$AH17&lt;=$B$7),1,0)</f>
        <v>0</v>
      </c>
      <c r="AJ17" s="2" t="n">
        <f aca="false">INDEX(MoTypeN,6)*1000+6</f>
        <v>5006</v>
      </c>
      <c r="AK17" s="2" t="str">
        <f aca="false">IF($AI17=0,"",COUNTIFS($AI$12:$AI$54,1,$AJ$12:$AJ$54,"&lt;"&amp;$AJ17)+1)</f>
        <v/>
      </c>
    </row>
    <row r="18" customFormat="false" ht="24" hidden="false" customHeight="true" outlineLevel="0" collapsed="false">
      <c r="A18" s="35" t="n">
        <v>7</v>
      </c>
      <c r="B18" s="36" t="str">
        <f aca="false">IFERROR(INDEX(WuName,MATCH(7,$AD$12:$AD$60,0)),"")</f>
        <v/>
      </c>
      <c r="C18" s="36" t="str">
        <f aca="false">IF($B18="","",INDEX(WuPhase,MATCH(7,$AD$12:$AD$60,0)))</f>
        <v/>
      </c>
      <c r="D18" s="36" t="str">
        <f aca="false">IF($B18="","",INDEX(WuTrigger,MATCH(7,$AD$12:$AD$60,0)))</f>
        <v/>
      </c>
      <c r="E18" s="35" t="str">
        <f aca="false">IF($B18="","",INDEX(WuMin,MATCH(7,$AD$12:$AD$60,0)))</f>
        <v/>
      </c>
      <c r="F18" s="37" t="str">
        <f aca="false">IF($B18="","",INDEX(WuHow,MATCH(7,$AD$12:$AD$60,0)))</f>
        <v/>
      </c>
      <c r="G18" s="37"/>
      <c r="H18" s="37"/>
      <c r="I18" s="37"/>
      <c r="J18" s="37"/>
      <c r="K18" s="37"/>
      <c r="L18" s="37"/>
      <c r="M18" s="37"/>
      <c r="N18" s="2"/>
      <c r="O18" s="2"/>
      <c r="P18" s="2"/>
      <c r="Q18" s="2"/>
      <c r="R18" s="2"/>
      <c r="S18" s="2"/>
      <c r="T18" s="2"/>
      <c r="U18" s="2"/>
      <c r="V18" s="2"/>
      <c r="W18" s="2"/>
      <c r="X18" s="2"/>
      <c r="Y18" s="2" t="n">
        <f aca="false">IF(OR(INDEX(WuTrigger,7)="Always",COUNTIF($D$30:$D$51,INDEX(WuTrigger,7))&gt;0,COUNTIF($E$30:$E$51,INDEX(WuTrigger,7))&gt;0),1,0)</f>
        <v>0</v>
      </c>
      <c r="Z18" s="2" t="n">
        <f aca="false">INDEX(WuPriority,7)*1000+7</f>
        <v>3007</v>
      </c>
      <c r="AA18" s="2" t="str">
        <f aca="false">IF($Y18=0,"",SUMIFS(WuMin,$Y$12:$Y$60,1,$Z$12:$Z$60,"&lt;="&amp;$Z18))</f>
        <v/>
      </c>
      <c r="AB18" s="2" t="n">
        <f aca="false">IF(AND($Y18=1,$AA18&lt;=$B$6),1,0)</f>
        <v>0</v>
      </c>
      <c r="AC18" s="2" t="n">
        <f aca="false">INDEX(WuPhaseN,7)*1000+7</f>
        <v>3007</v>
      </c>
      <c r="AD18" s="2" t="str">
        <f aca="false">IF($AB18=0,"",COUNTIFS($AB$12:$AB$60,1,$AC$12:$AC$60,"&lt;"&amp;$AC18)+1)</f>
        <v/>
      </c>
      <c r="AE18" s="2"/>
      <c r="AF18" s="2" t="n">
        <f aca="false">IF(OR(INDEX(MoTarget,7)="Always",COUNTIF($E$30:$E$51,INDEX(MoTarget,7))&gt;0,COUNTIF($F$30:$F$51,"*"&amp;INDEX(MoTarget,7)&amp;"*")&gt;0),1,0)</f>
        <v>1</v>
      </c>
      <c r="AG18" s="2" t="n">
        <f aca="false">INDEX(MoPriority,7)*1000+7</f>
        <v>6007</v>
      </c>
      <c r="AH18" s="2" t="n">
        <f aca="false">IF($AF18=0,"",SUMIFS(MoMin,$AF$12:$AF$54,1,$AG$12:$AG$54,"&lt;="&amp;$AG18))</f>
        <v>15</v>
      </c>
      <c r="AI18" s="2" t="n">
        <f aca="false">IF(AND($AF18=1,$AH18&lt;=$B$7),1,0)</f>
        <v>0</v>
      </c>
      <c r="AJ18" s="2" t="n">
        <f aca="false">INDEX(MoTypeN,7)*1000+7</f>
        <v>5007</v>
      </c>
      <c r="AK18" s="2" t="str">
        <f aca="false">IF($AI18=0,"",COUNTIFS($AI$12:$AI$54,1,$AJ$12:$AJ$54,"&lt;"&amp;$AJ18)+1)</f>
        <v/>
      </c>
    </row>
    <row r="19" customFormat="false" ht="24" hidden="false" customHeight="true" outlineLevel="0" collapsed="false">
      <c r="A19" s="35" t="n">
        <v>8</v>
      </c>
      <c r="B19" s="36" t="str">
        <f aca="false">IFERROR(INDEX(WuName,MATCH(8,$AD$12:$AD$60,0)),"")</f>
        <v/>
      </c>
      <c r="C19" s="36" t="str">
        <f aca="false">IF($B19="","",INDEX(WuPhase,MATCH(8,$AD$12:$AD$60,0)))</f>
        <v/>
      </c>
      <c r="D19" s="36" t="str">
        <f aca="false">IF($B19="","",INDEX(WuTrigger,MATCH(8,$AD$12:$AD$60,0)))</f>
        <v/>
      </c>
      <c r="E19" s="35" t="str">
        <f aca="false">IF($B19="","",INDEX(WuMin,MATCH(8,$AD$12:$AD$60,0)))</f>
        <v/>
      </c>
      <c r="F19" s="37" t="str">
        <f aca="false">IF($B19="","",INDEX(WuHow,MATCH(8,$AD$12:$AD$60,0)))</f>
        <v/>
      </c>
      <c r="G19" s="37"/>
      <c r="H19" s="37"/>
      <c r="I19" s="37"/>
      <c r="J19" s="37"/>
      <c r="K19" s="37"/>
      <c r="L19" s="37"/>
      <c r="M19" s="37"/>
      <c r="N19" s="2"/>
      <c r="O19" s="2"/>
      <c r="P19" s="2"/>
      <c r="Q19" s="2"/>
      <c r="R19" s="2"/>
      <c r="S19" s="2"/>
      <c r="T19" s="2"/>
      <c r="U19" s="2"/>
      <c r="V19" s="2"/>
      <c r="W19" s="2"/>
      <c r="X19" s="2"/>
      <c r="Y19" s="2" t="n">
        <f aca="false">IF(OR(INDEX(WuTrigger,8)="Always",COUNTIF($D$30:$D$51,INDEX(WuTrigger,8))&gt;0,COUNTIF($E$30:$E$51,INDEX(WuTrigger,8))&gt;0),1,0)</f>
        <v>0</v>
      </c>
      <c r="Z19" s="2" t="n">
        <f aca="false">INDEX(WuPriority,8)*1000+8</f>
        <v>4008</v>
      </c>
      <c r="AA19" s="2" t="str">
        <f aca="false">IF($Y19=0,"",SUMIFS(WuMin,$Y$12:$Y$60,1,$Z$12:$Z$60,"&lt;="&amp;$Z19))</f>
        <v/>
      </c>
      <c r="AB19" s="2" t="n">
        <f aca="false">IF(AND($Y19=1,$AA19&lt;=$B$6),1,0)</f>
        <v>0</v>
      </c>
      <c r="AC19" s="2" t="n">
        <f aca="false">INDEX(WuPhaseN,8)*1000+8</f>
        <v>3008</v>
      </c>
      <c r="AD19" s="2" t="str">
        <f aca="false">IF($AB19=0,"",COUNTIFS($AB$12:$AB$60,1,$AC$12:$AC$60,"&lt;"&amp;$AC19)+1)</f>
        <v/>
      </c>
      <c r="AE19" s="2"/>
      <c r="AF19" s="2" t="n">
        <f aca="false">IF(OR(INDEX(MoTarget,8)="Always",COUNTIF($E$30:$E$51,INDEX(MoTarget,8))&gt;0,COUNTIF($F$30:$F$51,"*"&amp;INDEX(MoTarget,8)&amp;"*")&gt;0),1,0)</f>
        <v>0</v>
      </c>
      <c r="AG19" s="2" t="n">
        <f aca="false">INDEX(MoPriority,8)*1000+8</f>
        <v>2008</v>
      </c>
      <c r="AH19" s="2" t="str">
        <f aca="false">IF($AF19=0,"",SUMIFS(MoMin,$AF$12:$AF$54,1,$AG$12:$AG$54,"&lt;="&amp;$AG19))</f>
        <v/>
      </c>
      <c r="AI19" s="2" t="n">
        <f aca="false">IF(AND($AF19=1,$AH19&lt;=$B$7),1,0)</f>
        <v>0</v>
      </c>
      <c r="AJ19" s="2" t="n">
        <f aca="false">INDEX(MoTypeN,8)*1000+8</f>
        <v>2008</v>
      </c>
      <c r="AK19" s="2" t="str">
        <f aca="false">IF($AI19=0,"",COUNTIFS($AI$12:$AI$54,1,$AJ$12:$AJ$54,"&lt;"&amp;$AJ19)+1)</f>
        <v/>
      </c>
    </row>
    <row r="20" customFormat="false" ht="24" hidden="false" customHeight="true" outlineLevel="0" collapsed="false">
      <c r="A20" s="35" t="n">
        <v>9</v>
      </c>
      <c r="B20" s="36" t="str">
        <f aca="false">IFERROR(INDEX(WuName,MATCH(9,$AD$12:$AD$60,0)),"")</f>
        <v/>
      </c>
      <c r="C20" s="36" t="str">
        <f aca="false">IF($B20="","",INDEX(WuPhase,MATCH(9,$AD$12:$AD$60,0)))</f>
        <v/>
      </c>
      <c r="D20" s="36" t="str">
        <f aca="false">IF($B20="","",INDEX(WuTrigger,MATCH(9,$AD$12:$AD$60,0)))</f>
        <v/>
      </c>
      <c r="E20" s="35" t="str">
        <f aca="false">IF($B20="","",INDEX(WuMin,MATCH(9,$AD$12:$AD$60,0)))</f>
        <v/>
      </c>
      <c r="F20" s="37" t="str">
        <f aca="false">IF($B20="","",INDEX(WuHow,MATCH(9,$AD$12:$AD$60,0)))</f>
        <v/>
      </c>
      <c r="G20" s="37"/>
      <c r="H20" s="37"/>
      <c r="I20" s="37"/>
      <c r="J20" s="37"/>
      <c r="K20" s="37"/>
      <c r="L20" s="37"/>
      <c r="M20" s="37"/>
      <c r="N20" s="2"/>
      <c r="O20" s="2"/>
      <c r="P20" s="2"/>
      <c r="Q20" s="2"/>
      <c r="R20" s="2"/>
      <c r="S20" s="2"/>
      <c r="T20" s="2"/>
      <c r="U20" s="2"/>
      <c r="V20" s="2"/>
      <c r="W20" s="2"/>
      <c r="X20" s="2"/>
      <c r="Y20" s="2" t="n">
        <f aca="false">IF(OR(INDEX(WuTrigger,9)="Always",COUNTIF($D$30:$D$51,INDEX(WuTrigger,9))&gt;0,COUNTIF($E$30:$E$51,INDEX(WuTrigger,9))&gt;0),1,0)</f>
        <v>0</v>
      </c>
      <c r="Z20" s="2" t="n">
        <f aca="false">INDEX(WuPriority,9)*1000+9</f>
        <v>5009</v>
      </c>
      <c r="AA20" s="2" t="str">
        <f aca="false">IF($Y20=0,"",SUMIFS(WuMin,$Y$12:$Y$60,1,$Z$12:$Z$60,"&lt;="&amp;$Z20))</f>
        <v/>
      </c>
      <c r="AB20" s="2" t="n">
        <f aca="false">IF(AND($Y20=1,$AA20&lt;=$B$6),1,0)</f>
        <v>0</v>
      </c>
      <c r="AC20" s="2" t="n">
        <f aca="false">INDEX(WuPhaseN,9)*1000+9</f>
        <v>2009</v>
      </c>
      <c r="AD20" s="2" t="str">
        <f aca="false">IF($AB20=0,"",COUNTIFS($AB$12:$AB$60,1,$AC$12:$AC$60,"&lt;"&amp;$AC20)+1)</f>
        <v/>
      </c>
      <c r="AE20" s="2"/>
      <c r="AF20" s="2" t="n">
        <f aca="false">IF(OR(INDEX(MoTarget,9)="Always",COUNTIF($E$30:$E$51,INDEX(MoTarget,9))&gt;0,COUNTIF($F$30:$F$51,"*"&amp;INDEX(MoTarget,9)&amp;"*")&gt;0),1,0)</f>
        <v>0</v>
      </c>
      <c r="AG20" s="2" t="n">
        <f aca="false">INDEX(MoPriority,9)*1000+9</f>
        <v>2009</v>
      </c>
      <c r="AH20" s="2" t="str">
        <f aca="false">IF($AF20=0,"",SUMIFS(MoMin,$AF$12:$AF$54,1,$AG$12:$AG$54,"&lt;="&amp;$AG20))</f>
        <v/>
      </c>
      <c r="AI20" s="2" t="n">
        <f aca="false">IF(AND($AF20=1,$AH20&lt;=$B$7),1,0)</f>
        <v>0</v>
      </c>
      <c r="AJ20" s="2" t="n">
        <f aca="false">INDEX(MoTypeN,9)*1000+9</f>
        <v>2009</v>
      </c>
      <c r="AK20" s="2" t="str">
        <f aca="false">IF($AI20=0,"",COUNTIFS($AI$12:$AI$54,1,$AJ$12:$AJ$54,"&lt;"&amp;$AJ20)+1)</f>
        <v/>
      </c>
    </row>
    <row r="21" customFormat="false" ht="24" hidden="false" customHeight="true" outlineLevel="0" collapsed="false">
      <c r="A21" s="35" t="n">
        <v>10</v>
      </c>
      <c r="B21" s="36" t="str">
        <f aca="false">IFERROR(INDEX(WuName,MATCH(10,$AD$12:$AD$60,0)),"")</f>
        <v/>
      </c>
      <c r="C21" s="36" t="str">
        <f aca="false">IF($B21="","",INDEX(WuPhase,MATCH(10,$AD$12:$AD$60,0)))</f>
        <v/>
      </c>
      <c r="D21" s="36" t="str">
        <f aca="false">IF($B21="","",INDEX(WuTrigger,MATCH(10,$AD$12:$AD$60,0)))</f>
        <v/>
      </c>
      <c r="E21" s="35" t="str">
        <f aca="false">IF($B21="","",INDEX(WuMin,MATCH(10,$AD$12:$AD$60,0)))</f>
        <v/>
      </c>
      <c r="F21" s="37" t="str">
        <f aca="false">IF($B21="","",INDEX(WuHow,MATCH(10,$AD$12:$AD$60,0)))</f>
        <v/>
      </c>
      <c r="G21" s="37"/>
      <c r="H21" s="37"/>
      <c r="I21" s="37"/>
      <c r="J21" s="37"/>
      <c r="K21" s="37"/>
      <c r="L21" s="37"/>
      <c r="M21" s="37"/>
      <c r="N21" s="2"/>
      <c r="O21" s="2"/>
      <c r="P21" s="2"/>
      <c r="Q21" s="2"/>
      <c r="R21" s="2"/>
      <c r="S21" s="2"/>
      <c r="T21" s="2"/>
      <c r="U21" s="2"/>
      <c r="V21" s="2"/>
      <c r="W21" s="2"/>
      <c r="X21" s="2"/>
      <c r="Y21" s="2" t="n">
        <f aca="false">IF(OR(INDEX(WuTrigger,10)="Always",COUNTIF($D$30:$D$51,INDEX(WuTrigger,10))&gt;0,COUNTIF($E$30:$E$51,INDEX(WuTrigger,10))&gt;0),1,0)</f>
        <v>0</v>
      </c>
      <c r="Z21" s="2" t="n">
        <f aca="false">INDEX(WuPriority,10)*1000+10</f>
        <v>3010</v>
      </c>
      <c r="AA21" s="2" t="str">
        <f aca="false">IF($Y21=0,"",SUMIFS(WuMin,$Y$12:$Y$60,1,$Z$12:$Z$60,"&lt;="&amp;$Z21))</f>
        <v/>
      </c>
      <c r="AB21" s="2" t="n">
        <f aca="false">IF(AND($Y21=1,$AA21&lt;=$B$6),1,0)</f>
        <v>0</v>
      </c>
      <c r="AC21" s="2" t="n">
        <f aca="false">INDEX(WuPhaseN,10)*1000+10</f>
        <v>3010</v>
      </c>
      <c r="AD21" s="2" t="str">
        <f aca="false">IF($AB21=0,"",COUNTIFS($AB$12:$AB$60,1,$AC$12:$AC$60,"&lt;"&amp;$AC21)+1)</f>
        <v/>
      </c>
      <c r="AE21" s="2"/>
      <c r="AF21" s="2" t="n">
        <f aca="false">IF(OR(INDEX(MoTarget,10)="Always",COUNTIF($E$30:$E$51,INDEX(MoTarget,10))&gt;0,COUNTIF($F$30:$F$51,"*"&amp;INDEX(MoTarget,10)&amp;"*")&gt;0),1,0)</f>
        <v>0</v>
      </c>
      <c r="AG21" s="2" t="n">
        <f aca="false">INDEX(MoPriority,10)*1000+10</f>
        <v>4010</v>
      </c>
      <c r="AH21" s="2" t="str">
        <f aca="false">IF($AF21=0,"",SUMIFS(MoMin,$AF$12:$AF$54,1,$AG$12:$AG$54,"&lt;="&amp;$AG21))</f>
        <v/>
      </c>
      <c r="AI21" s="2" t="n">
        <f aca="false">IF(AND($AF21=1,$AH21&lt;=$B$7),1,0)</f>
        <v>0</v>
      </c>
      <c r="AJ21" s="2" t="n">
        <f aca="false">INDEX(MoTypeN,10)*1000+10</f>
        <v>2010</v>
      </c>
      <c r="AK21" s="2" t="str">
        <f aca="false">IF($AI21=0,"",COUNTIFS($AI$12:$AI$54,1,$AJ$12:$AJ$54,"&lt;"&amp;$AJ21)+1)</f>
        <v/>
      </c>
    </row>
    <row r="22" customFormat="false" ht="24" hidden="false" customHeight="true" outlineLevel="0" collapsed="false">
      <c r="A22" s="35" t="n">
        <v>11</v>
      </c>
      <c r="B22" s="36" t="str">
        <f aca="false">IFERROR(INDEX(WuName,MATCH(11,$AD$12:$AD$60,0)),"")</f>
        <v/>
      </c>
      <c r="C22" s="36" t="str">
        <f aca="false">IF($B22="","",INDEX(WuPhase,MATCH(11,$AD$12:$AD$60,0)))</f>
        <v/>
      </c>
      <c r="D22" s="36" t="str">
        <f aca="false">IF($B22="","",INDEX(WuTrigger,MATCH(11,$AD$12:$AD$60,0)))</f>
        <v/>
      </c>
      <c r="E22" s="35" t="str">
        <f aca="false">IF($B22="","",INDEX(WuMin,MATCH(11,$AD$12:$AD$60,0)))</f>
        <v/>
      </c>
      <c r="F22" s="37" t="str">
        <f aca="false">IF($B22="","",INDEX(WuHow,MATCH(11,$AD$12:$AD$60,0)))</f>
        <v/>
      </c>
      <c r="G22" s="37"/>
      <c r="H22" s="37"/>
      <c r="I22" s="37"/>
      <c r="J22" s="37"/>
      <c r="K22" s="37"/>
      <c r="L22" s="37"/>
      <c r="M22" s="37"/>
      <c r="N22" s="2"/>
      <c r="O22" s="2"/>
      <c r="P22" s="2"/>
      <c r="Q22" s="2"/>
      <c r="R22" s="2"/>
      <c r="S22" s="2"/>
      <c r="T22" s="2"/>
      <c r="U22" s="2"/>
      <c r="V22" s="2"/>
      <c r="W22" s="2"/>
      <c r="X22" s="2"/>
      <c r="Y22" s="2" t="n">
        <f aca="false">IF(OR(INDEX(WuTrigger,11)="Always",COUNTIF($D$30:$D$51,INDEX(WuTrigger,11))&gt;0,COUNTIF($E$30:$E$51,INDEX(WuTrigger,11))&gt;0),1,0)</f>
        <v>0</v>
      </c>
      <c r="Z22" s="2" t="n">
        <f aca="false">INDEX(WuPriority,11)*1000+11</f>
        <v>4011</v>
      </c>
      <c r="AA22" s="2" t="str">
        <f aca="false">IF($Y22=0,"",SUMIFS(WuMin,$Y$12:$Y$60,1,$Z$12:$Z$60,"&lt;="&amp;$Z22))</f>
        <v/>
      </c>
      <c r="AB22" s="2" t="n">
        <f aca="false">IF(AND($Y22=1,$AA22&lt;=$B$6),1,0)</f>
        <v>0</v>
      </c>
      <c r="AC22" s="2" t="n">
        <f aca="false">INDEX(WuPhaseN,11)*1000+11</f>
        <v>3011</v>
      </c>
      <c r="AD22" s="2" t="str">
        <f aca="false">IF($AB22=0,"",COUNTIFS($AB$12:$AB$60,1,$AC$12:$AC$60,"&lt;"&amp;$AC22)+1)</f>
        <v/>
      </c>
      <c r="AE22" s="2"/>
      <c r="AF22" s="2" t="n">
        <f aca="false">IF(OR(INDEX(MoTarget,11)="Always",COUNTIF($E$30:$E$51,INDEX(MoTarget,11))&gt;0,COUNTIF($F$30:$F$51,"*"&amp;INDEX(MoTarget,11)&amp;"*")&gt;0),1,0)</f>
        <v>0</v>
      </c>
      <c r="AG22" s="2" t="n">
        <f aca="false">INDEX(MoPriority,11)*1000+11</f>
        <v>3011</v>
      </c>
      <c r="AH22" s="2" t="str">
        <f aca="false">IF($AF22=0,"",SUMIFS(MoMin,$AF$12:$AF$54,1,$AG$12:$AG$54,"&lt;="&amp;$AG22))</f>
        <v/>
      </c>
      <c r="AI22" s="2" t="n">
        <f aca="false">IF(AND($AF22=1,$AH22&lt;=$B$7),1,0)</f>
        <v>0</v>
      </c>
      <c r="AJ22" s="2" t="n">
        <f aca="false">INDEX(MoTypeN,11)*1000+11</f>
        <v>2011</v>
      </c>
      <c r="AK22" s="2" t="str">
        <f aca="false">IF($AI22=0,"",COUNTIFS($AI$12:$AI$54,1,$AJ$12:$AJ$54,"&lt;"&amp;$AJ22)+1)</f>
        <v/>
      </c>
    </row>
    <row r="23" customFormat="false" ht="24" hidden="false" customHeight="true" outlineLevel="0" collapsed="false">
      <c r="A23" s="35" t="n">
        <v>12</v>
      </c>
      <c r="B23" s="36" t="str">
        <f aca="false">IFERROR(INDEX(WuName,MATCH(12,$AD$12:$AD$60,0)),"")</f>
        <v/>
      </c>
      <c r="C23" s="36" t="str">
        <f aca="false">IF($B23="","",INDEX(WuPhase,MATCH(12,$AD$12:$AD$60,0)))</f>
        <v/>
      </c>
      <c r="D23" s="36" t="str">
        <f aca="false">IF($B23="","",INDEX(WuTrigger,MATCH(12,$AD$12:$AD$60,0)))</f>
        <v/>
      </c>
      <c r="E23" s="35" t="str">
        <f aca="false">IF($B23="","",INDEX(WuMin,MATCH(12,$AD$12:$AD$60,0)))</f>
        <v/>
      </c>
      <c r="F23" s="37" t="str">
        <f aca="false">IF($B23="","",INDEX(WuHow,MATCH(12,$AD$12:$AD$60,0)))</f>
        <v/>
      </c>
      <c r="G23" s="37"/>
      <c r="H23" s="37"/>
      <c r="I23" s="37"/>
      <c r="J23" s="37"/>
      <c r="K23" s="37"/>
      <c r="L23" s="37"/>
      <c r="M23" s="37"/>
      <c r="N23" s="2"/>
      <c r="O23" s="2"/>
      <c r="P23" s="2"/>
      <c r="Q23" s="2"/>
      <c r="R23" s="2"/>
      <c r="S23" s="2"/>
      <c r="T23" s="2"/>
      <c r="U23" s="2"/>
      <c r="V23" s="2"/>
      <c r="W23" s="2"/>
      <c r="X23" s="2"/>
      <c r="Y23" s="2" t="n">
        <f aca="false">IF(OR(INDEX(WuTrigger,12)="Always",COUNTIF($D$30:$D$51,INDEX(WuTrigger,12))&gt;0,COUNTIF($E$30:$E$51,INDEX(WuTrigger,12))&gt;0),1,0)</f>
        <v>0</v>
      </c>
      <c r="Z23" s="2" t="n">
        <f aca="false">INDEX(WuPriority,12)*1000+12</f>
        <v>6012</v>
      </c>
      <c r="AA23" s="2" t="str">
        <f aca="false">IF($Y23=0,"",SUMIFS(WuMin,$Y$12:$Y$60,1,$Z$12:$Z$60,"&lt;="&amp;$Z23))</f>
        <v/>
      </c>
      <c r="AB23" s="2" t="n">
        <f aca="false">IF(AND($Y23=1,$AA23&lt;=$B$6),1,0)</f>
        <v>0</v>
      </c>
      <c r="AC23" s="2" t="n">
        <f aca="false">INDEX(WuPhaseN,12)*1000+12</f>
        <v>2012</v>
      </c>
      <c r="AD23" s="2" t="str">
        <f aca="false">IF($AB23=0,"",COUNTIFS($AB$12:$AB$60,1,$AC$12:$AC$60,"&lt;"&amp;$AC23)+1)</f>
        <v/>
      </c>
      <c r="AE23" s="2"/>
      <c r="AF23" s="2" t="n">
        <f aca="false">IF(OR(INDEX(MoTarget,12)="Always",COUNTIF($E$30:$E$51,INDEX(MoTarget,12))&gt;0,COUNTIF($F$30:$F$51,"*"&amp;INDEX(MoTarget,12)&amp;"*")&gt;0),1,0)</f>
        <v>0</v>
      </c>
      <c r="AG23" s="2" t="n">
        <f aca="false">INDEX(MoPriority,12)*1000+12</f>
        <v>2012</v>
      </c>
      <c r="AH23" s="2" t="str">
        <f aca="false">IF($AF23=0,"",SUMIFS(MoMin,$AF$12:$AF$54,1,$AG$12:$AG$54,"&lt;="&amp;$AG23))</f>
        <v/>
      </c>
      <c r="AI23" s="2" t="n">
        <f aca="false">IF(AND($AF23=1,$AH23&lt;=$B$7),1,0)</f>
        <v>0</v>
      </c>
      <c r="AJ23" s="2" t="n">
        <f aca="false">INDEX(MoTypeN,12)*1000+12</f>
        <v>2012</v>
      </c>
      <c r="AK23" s="2" t="str">
        <f aca="false">IF($AI23=0,"",COUNTIFS($AI$12:$AI$54,1,$AJ$12:$AJ$54,"&lt;"&amp;$AJ23)+1)</f>
        <v/>
      </c>
    </row>
    <row r="24" customFormat="false" ht="24" hidden="false" customHeight="true" outlineLevel="0" collapsed="false">
      <c r="A24" s="35" t="n">
        <v>13</v>
      </c>
      <c r="B24" s="36" t="str">
        <f aca="false">IFERROR(INDEX(WuName,MATCH(13,$AD$12:$AD$60,0)),"")</f>
        <v/>
      </c>
      <c r="C24" s="36" t="str">
        <f aca="false">IF($B24="","",INDEX(WuPhase,MATCH(13,$AD$12:$AD$60,0)))</f>
        <v/>
      </c>
      <c r="D24" s="36" t="str">
        <f aca="false">IF($B24="","",INDEX(WuTrigger,MATCH(13,$AD$12:$AD$60,0)))</f>
        <v/>
      </c>
      <c r="E24" s="35" t="str">
        <f aca="false">IF($B24="","",INDEX(WuMin,MATCH(13,$AD$12:$AD$60,0)))</f>
        <v/>
      </c>
      <c r="F24" s="37" t="str">
        <f aca="false">IF($B24="","",INDEX(WuHow,MATCH(13,$AD$12:$AD$60,0)))</f>
        <v/>
      </c>
      <c r="G24" s="37"/>
      <c r="H24" s="37"/>
      <c r="I24" s="37"/>
      <c r="J24" s="37"/>
      <c r="K24" s="37"/>
      <c r="L24" s="37"/>
      <c r="M24" s="37"/>
      <c r="N24" s="2"/>
      <c r="O24" s="2"/>
      <c r="P24" s="2"/>
      <c r="Q24" s="2"/>
      <c r="R24" s="2"/>
      <c r="S24" s="2"/>
      <c r="T24" s="2"/>
      <c r="U24" s="2"/>
      <c r="V24" s="2"/>
      <c r="W24" s="2"/>
      <c r="X24" s="2"/>
      <c r="Y24" s="2" t="n">
        <f aca="false">IF(OR(INDEX(WuTrigger,13)="Always",COUNTIF($D$30:$D$51,INDEX(WuTrigger,13))&gt;0,COUNTIF($E$30:$E$51,INDEX(WuTrigger,13))&gt;0),1,0)</f>
        <v>0</v>
      </c>
      <c r="Z24" s="2" t="n">
        <f aca="false">INDEX(WuPriority,13)*1000+13</f>
        <v>5013</v>
      </c>
      <c r="AA24" s="2" t="str">
        <f aca="false">IF($Y24=0,"",SUMIFS(WuMin,$Y$12:$Y$60,1,$Z$12:$Z$60,"&lt;="&amp;$Z24))</f>
        <v/>
      </c>
      <c r="AB24" s="2" t="n">
        <f aca="false">IF(AND($Y24=1,$AA24&lt;=$B$6),1,0)</f>
        <v>0</v>
      </c>
      <c r="AC24" s="2" t="n">
        <f aca="false">INDEX(WuPhaseN,13)*1000+13</f>
        <v>2013</v>
      </c>
      <c r="AD24" s="2" t="str">
        <f aca="false">IF($AB24=0,"",COUNTIFS($AB$12:$AB$60,1,$AC$12:$AC$60,"&lt;"&amp;$AC24)+1)</f>
        <v/>
      </c>
      <c r="AE24" s="2"/>
      <c r="AF24" s="2" t="n">
        <f aca="false">IF(OR(INDEX(MoTarget,13)="Always",COUNTIF($E$30:$E$51,INDEX(MoTarget,13))&gt;0,COUNTIF($F$30:$F$51,"*"&amp;INDEX(MoTarget,13)&amp;"*")&gt;0),1,0)</f>
        <v>0</v>
      </c>
      <c r="AG24" s="2" t="n">
        <f aca="false">INDEX(MoPriority,13)*1000+13</f>
        <v>3013</v>
      </c>
      <c r="AH24" s="2" t="str">
        <f aca="false">IF($AF24=0,"",SUMIFS(MoMin,$AF$12:$AF$54,1,$AG$12:$AG$54,"&lt;="&amp;$AG24))</f>
        <v/>
      </c>
      <c r="AI24" s="2" t="n">
        <f aca="false">IF(AND($AF24=1,$AH24&lt;=$B$7),1,0)</f>
        <v>0</v>
      </c>
      <c r="AJ24" s="2" t="n">
        <f aca="false">INDEX(MoTypeN,13)*1000+13</f>
        <v>2013</v>
      </c>
      <c r="AK24" s="2" t="str">
        <f aca="false">IF($AI24=0,"",COUNTIFS($AI$12:$AI$54,1,$AJ$12:$AJ$54,"&lt;"&amp;$AJ24)+1)</f>
        <v/>
      </c>
    </row>
    <row r="25" customFormat="false" ht="24" hidden="false" customHeight="true" outlineLevel="0" collapsed="false">
      <c r="A25" s="35" t="n">
        <v>14</v>
      </c>
      <c r="B25" s="36" t="str">
        <f aca="false">IFERROR(INDEX(WuName,MATCH(14,$AD$12:$AD$60,0)),"")</f>
        <v/>
      </c>
      <c r="C25" s="36" t="str">
        <f aca="false">IF($B25="","",INDEX(WuPhase,MATCH(14,$AD$12:$AD$60,0)))</f>
        <v/>
      </c>
      <c r="D25" s="36" t="str">
        <f aca="false">IF($B25="","",INDEX(WuTrigger,MATCH(14,$AD$12:$AD$60,0)))</f>
        <v/>
      </c>
      <c r="E25" s="35" t="str">
        <f aca="false">IF($B25="","",INDEX(WuMin,MATCH(14,$AD$12:$AD$60,0)))</f>
        <v/>
      </c>
      <c r="F25" s="37" t="str">
        <f aca="false">IF($B25="","",INDEX(WuHow,MATCH(14,$AD$12:$AD$60,0)))</f>
        <v/>
      </c>
      <c r="G25" s="37"/>
      <c r="H25" s="37"/>
      <c r="I25" s="37"/>
      <c r="J25" s="37"/>
      <c r="K25" s="37"/>
      <c r="L25" s="37"/>
      <c r="M25" s="37"/>
      <c r="N25" s="2"/>
      <c r="O25" s="2"/>
      <c r="P25" s="2"/>
      <c r="Q25" s="2"/>
      <c r="R25" s="2"/>
      <c r="S25" s="2"/>
      <c r="T25" s="2"/>
      <c r="U25" s="2"/>
      <c r="V25" s="2"/>
      <c r="W25" s="2"/>
      <c r="X25" s="2"/>
      <c r="Y25" s="2" t="n">
        <f aca="false">IF(OR(INDEX(WuTrigger,14)="Always",COUNTIF($D$30:$D$51,INDEX(WuTrigger,14))&gt;0,COUNTIF($E$30:$E$51,INDEX(WuTrigger,14))&gt;0),1,0)</f>
        <v>0</v>
      </c>
      <c r="Z25" s="2" t="n">
        <f aca="false">INDEX(WuPriority,14)*1000+14</f>
        <v>4014</v>
      </c>
      <c r="AA25" s="2" t="str">
        <f aca="false">IF($Y25=0,"",SUMIFS(WuMin,$Y$12:$Y$60,1,$Z$12:$Z$60,"&lt;="&amp;$Z25))</f>
        <v/>
      </c>
      <c r="AB25" s="2" t="n">
        <f aca="false">IF(AND($Y25=1,$AA25&lt;=$B$6),1,0)</f>
        <v>0</v>
      </c>
      <c r="AC25" s="2" t="n">
        <f aca="false">INDEX(WuPhaseN,14)*1000+14</f>
        <v>3014</v>
      </c>
      <c r="AD25" s="2" t="str">
        <f aca="false">IF($AB25=0,"",COUNTIFS($AB$12:$AB$60,1,$AC$12:$AC$60,"&lt;"&amp;$AC25)+1)</f>
        <v/>
      </c>
      <c r="AE25" s="2"/>
      <c r="AF25" s="2" t="n">
        <f aca="false">IF(OR(INDEX(MoTarget,14)="Always",COUNTIF($E$30:$E$51,INDEX(MoTarget,14))&gt;0,COUNTIF($F$30:$F$51,"*"&amp;INDEX(MoTarget,14)&amp;"*")&gt;0),1,0)</f>
        <v>0</v>
      </c>
      <c r="AG25" s="2" t="n">
        <f aca="false">INDEX(MoPriority,14)*1000+14</f>
        <v>4014</v>
      </c>
      <c r="AH25" s="2" t="str">
        <f aca="false">IF($AF25=0,"",SUMIFS(MoMin,$AF$12:$AF$54,1,$AG$12:$AG$54,"&lt;="&amp;$AG25))</f>
        <v/>
      </c>
      <c r="AI25" s="2" t="n">
        <f aca="false">IF(AND($AF25=1,$AH25&lt;=$B$7),1,0)</f>
        <v>0</v>
      </c>
      <c r="AJ25" s="2" t="n">
        <f aca="false">INDEX(MoTypeN,14)*1000+14</f>
        <v>2014</v>
      </c>
      <c r="AK25" s="2" t="str">
        <f aca="false">IF($AI25=0,"",COUNTIFS($AI$12:$AI$54,1,$AJ$12:$AJ$54,"&lt;"&amp;$AJ25)+1)</f>
        <v/>
      </c>
    </row>
    <row r="26" customFormat="false" ht="15" hidden="false" customHeight="false" outlineLevel="0" collapsed="false">
      <c r="A26" s="38" t="s">
        <v>1026</v>
      </c>
      <c r="B26" s="39"/>
      <c r="C26" s="39"/>
      <c r="D26" s="39"/>
      <c r="E26" s="40" t="n">
        <f aca="false">SUMIFS(WuMin,$AB$12:$AB$60,1)</f>
        <v>14</v>
      </c>
      <c r="F26" s="39"/>
      <c r="G26" s="39"/>
      <c r="H26" s="39"/>
      <c r="I26" s="39"/>
      <c r="J26" s="39"/>
      <c r="K26" s="39"/>
      <c r="L26" s="39"/>
      <c r="M26" s="39"/>
      <c r="N26" s="2"/>
      <c r="O26" s="2"/>
      <c r="P26" s="2"/>
      <c r="Q26" s="2"/>
      <c r="R26" s="2"/>
      <c r="S26" s="2"/>
      <c r="T26" s="2"/>
      <c r="U26" s="2"/>
      <c r="V26" s="2"/>
      <c r="W26" s="2"/>
      <c r="X26" s="2"/>
      <c r="Y26" s="2" t="n">
        <f aca="false">IF(OR(INDEX(WuTrigger,15)="Always",COUNTIF($D$30:$D$51,INDEX(WuTrigger,15))&gt;0,COUNTIF($E$30:$E$51,INDEX(WuTrigger,15))&gt;0),1,0)</f>
        <v>0</v>
      </c>
      <c r="Z26" s="2" t="n">
        <f aca="false">INDEX(WuPriority,15)*1000+15</f>
        <v>6015</v>
      </c>
      <c r="AA26" s="2" t="str">
        <f aca="false">IF($Y26=0,"",SUMIFS(WuMin,$Y$12:$Y$60,1,$Z$12:$Z$60,"&lt;="&amp;$Z26))</f>
        <v/>
      </c>
      <c r="AB26" s="2" t="n">
        <f aca="false">IF(AND($Y26=1,$AA26&lt;=$B$6),1,0)</f>
        <v>0</v>
      </c>
      <c r="AC26" s="2" t="n">
        <f aca="false">INDEX(WuPhaseN,15)*1000+15</f>
        <v>3015</v>
      </c>
      <c r="AD26" s="2" t="str">
        <f aca="false">IF($AB26=0,"",COUNTIFS($AB$12:$AB$60,1,$AC$12:$AC$60,"&lt;"&amp;$AC26)+1)</f>
        <v/>
      </c>
      <c r="AE26" s="2"/>
      <c r="AF26" s="2" t="n">
        <f aca="false">IF(OR(INDEX(MoTarget,15)="Always",COUNTIF($E$30:$E$51,INDEX(MoTarget,15))&gt;0,COUNTIF($F$30:$F$51,"*"&amp;INDEX(MoTarget,15)&amp;"*")&gt;0),1,0)</f>
        <v>0</v>
      </c>
      <c r="AG26" s="2" t="n">
        <f aca="false">INDEX(MoPriority,15)*1000+15</f>
        <v>2015</v>
      </c>
      <c r="AH26" s="2" t="str">
        <f aca="false">IF($AF26=0,"",SUMIFS(MoMin,$AF$12:$AF$54,1,$AG$12:$AG$54,"&lt;="&amp;$AG26))</f>
        <v/>
      </c>
      <c r="AI26" s="2" t="n">
        <f aca="false">IF(AND($AF26=1,$AH26&lt;=$B$7),1,0)</f>
        <v>0</v>
      </c>
      <c r="AJ26" s="2" t="n">
        <f aca="false">INDEX(MoTypeN,15)*1000+15</f>
        <v>2015</v>
      </c>
      <c r="AK26" s="2" t="str">
        <f aca="false">IF($AI26=0,"",COUNTIFS($AI$12:$AI$54,1,$AJ$12:$AJ$54,"&lt;"&amp;$AJ26)+1)</f>
        <v/>
      </c>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t="n">
        <f aca="false">IF(OR(INDEX(WuTrigger,16)="Always",COUNTIF($D$30:$D$51,INDEX(WuTrigger,16))&gt;0,COUNTIF($E$30:$E$51,INDEX(WuTrigger,16))&gt;0),1,0)</f>
        <v>0</v>
      </c>
      <c r="Z27" s="2" t="n">
        <f aca="false">INDEX(WuPriority,16)*1000+16</f>
        <v>3016</v>
      </c>
      <c r="AA27" s="2" t="str">
        <f aca="false">IF($Y27=0,"",SUMIFS(WuMin,$Y$12:$Y$60,1,$Z$12:$Z$60,"&lt;="&amp;$Z27))</f>
        <v/>
      </c>
      <c r="AB27" s="2" t="n">
        <f aca="false">IF(AND($Y27=1,$AA27&lt;=$B$6),1,0)</f>
        <v>0</v>
      </c>
      <c r="AC27" s="2" t="n">
        <f aca="false">INDEX(WuPhaseN,16)*1000+16</f>
        <v>3016</v>
      </c>
      <c r="AD27" s="2" t="str">
        <f aca="false">IF($AB27=0,"",COUNTIFS($AB$12:$AB$60,1,$AC$12:$AC$60,"&lt;"&amp;$AC27)+1)</f>
        <v/>
      </c>
      <c r="AE27" s="2"/>
      <c r="AF27" s="2" t="n">
        <f aca="false">IF(OR(INDEX(MoTarget,16)="Always",COUNTIF($E$30:$E$51,INDEX(MoTarget,16))&gt;0,COUNTIF($F$30:$F$51,"*"&amp;INDEX(MoTarget,16)&amp;"*")&gt;0),1,0)</f>
        <v>0</v>
      </c>
      <c r="AG27" s="2" t="n">
        <f aca="false">INDEX(MoPriority,16)*1000+16</f>
        <v>2016</v>
      </c>
      <c r="AH27" s="2" t="str">
        <f aca="false">IF($AF27=0,"",SUMIFS(MoMin,$AF$12:$AF$54,1,$AG$12:$AG$54,"&lt;="&amp;$AG27))</f>
        <v/>
      </c>
      <c r="AI27" s="2" t="n">
        <f aca="false">IF(AND($AF27=1,$AH27&lt;=$B$7),1,0)</f>
        <v>0</v>
      </c>
      <c r="AJ27" s="2" t="n">
        <f aca="false">INDEX(MoTypeN,16)*1000+16</f>
        <v>2016</v>
      </c>
      <c r="AK27" s="2" t="str">
        <f aca="false">IF($AI27=0,"",COUNTIFS($AI$12:$AI$54,1,$AJ$12:$AJ$54,"&lt;"&amp;$AJ27)+1)</f>
        <v/>
      </c>
    </row>
    <row r="28" customFormat="false" ht="19.5" hidden="false" customHeight="true" outlineLevel="0" collapsed="false">
      <c r="A28" s="33" t="s">
        <v>1027</v>
      </c>
      <c r="B28" s="33"/>
      <c r="C28" s="33"/>
      <c r="D28" s="33"/>
      <c r="E28" s="33"/>
      <c r="F28" s="33"/>
      <c r="G28" s="33"/>
      <c r="H28" s="33"/>
      <c r="I28" s="33"/>
      <c r="J28" s="33"/>
      <c r="K28" s="33"/>
      <c r="L28" s="33"/>
      <c r="M28" s="33"/>
      <c r="N28" s="33"/>
      <c r="O28" s="33"/>
      <c r="P28" s="33"/>
      <c r="Q28" s="2"/>
      <c r="R28" s="2"/>
      <c r="S28" s="2"/>
      <c r="T28" s="2"/>
      <c r="U28" s="2"/>
      <c r="V28" s="2"/>
      <c r="W28" s="2"/>
      <c r="X28" s="2"/>
      <c r="Y28" s="2" t="n">
        <f aca="false">IF(OR(INDEX(WuTrigger,17)="Always",COUNTIF($D$30:$D$51,INDEX(WuTrigger,17))&gt;0,COUNTIF($E$30:$E$51,INDEX(WuTrigger,17))&gt;0),1,0)</f>
        <v>0</v>
      </c>
      <c r="Z28" s="2" t="n">
        <f aca="false">INDEX(WuPriority,17)*1000+17</f>
        <v>3017</v>
      </c>
      <c r="AA28" s="2" t="str">
        <f aca="false">IF($Y28=0,"",SUMIFS(WuMin,$Y$12:$Y$60,1,$Z$12:$Z$60,"&lt;="&amp;$Z28))</f>
        <v/>
      </c>
      <c r="AB28" s="2" t="n">
        <f aca="false">IF(AND($Y28=1,$AA28&lt;=$B$6),1,0)</f>
        <v>0</v>
      </c>
      <c r="AC28" s="2" t="n">
        <f aca="false">INDEX(WuPhaseN,17)*1000+17</f>
        <v>3017</v>
      </c>
      <c r="AD28" s="2" t="str">
        <f aca="false">IF($AB28=0,"",COUNTIFS($AB$12:$AB$60,1,$AC$12:$AC$60,"&lt;"&amp;$AC28)+1)</f>
        <v/>
      </c>
      <c r="AE28" s="2"/>
      <c r="AF28" s="2" t="n">
        <f aca="false">IF(OR(INDEX(MoTarget,17)="Always",COUNTIF($E$30:$E$51,INDEX(MoTarget,17))&gt;0,COUNTIF($F$30:$F$51,"*"&amp;INDEX(MoTarget,17)&amp;"*")&gt;0),1,0)</f>
        <v>0</v>
      </c>
      <c r="AG28" s="2" t="n">
        <f aca="false">INDEX(MoPriority,17)*1000+17</f>
        <v>4017</v>
      </c>
      <c r="AH28" s="2" t="str">
        <f aca="false">IF($AF28=0,"",SUMIFS(MoMin,$AF$12:$AF$54,1,$AG$12:$AG$54,"&lt;="&amp;$AG28))</f>
        <v/>
      </c>
      <c r="AI28" s="2" t="n">
        <f aca="false">IF(AND($AF28=1,$AH28&lt;=$B$7),1,0)</f>
        <v>0</v>
      </c>
      <c r="AJ28" s="2" t="n">
        <f aca="false">INDEX(MoTypeN,17)*1000+17</f>
        <v>2017</v>
      </c>
      <c r="AK28" s="2" t="str">
        <f aca="false">IF($AI28=0,"",COUNTIFS($AI$12:$AI$54,1,$AJ$12:$AJ$54,"&lt;"&amp;$AJ28)+1)</f>
        <v/>
      </c>
    </row>
    <row r="29" customFormat="false" ht="31.5" hidden="false" customHeight="true" outlineLevel="0" collapsed="false">
      <c r="A29" s="9" t="s">
        <v>1023</v>
      </c>
      <c r="B29" s="9" t="s">
        <v>52</v>
      </c>
      <c r="C29" s="9" t="s">
        <v>54</v>
      </c>
      <c r="D29" s="9" t="s">
        <v>1028</v>
      </c>
      <c r="E29" s="9" t="s">
        <v>1029</v>
      </c>
      <c r="F29" s="9" t="s">
        <v>1030</v>
      </c>
      <c r="G29" s="9" t="s">
        <v>1031</v>
      </c>
      <c r="H29" s="9" t="s">
        <v>927</v>
      </c>
      <c r="I29" s="9" t="s">
        <v>928</v>
      </c>
      <c r="J29" s="9" t="s">
        <v>929</v>
      </c>
      <c r="K29" s="9" t="s">
        <v>1032</v>
      </c>
      <c r="L29" s="9" t="s">
        <v>932</v>
      </c>
      <c r="M29" s="9" t="s">
        <v>933</v>
      </c>
      <c r="N29" s="9" t="s">
        <v>1033</v>
      </c>
      <c r="O29" s="9" t="s">
        <v>1034</v>
      </c>
      <c r="P29" s="9" t="s">
        <v>1035</v>
      </c>
      <c r="Q29" s="2"/>
      <c r="R29" s="2"/>
      <c r="S29" s="2"/>
      <c r="T29" s="2"/>
      <c r="U29" s="2"/>
      <c r="V29" s="2"/>
      <c r="W29" s="2"/>
      <c r="X29" s="2"/>
      <c r="Y29" s="2" t="n">
        <f aca="false">IF(OR(INDEX(WuTrigger,18)="Always",COUNTIF($D$30:$D$51,INDEX(WuTrigger,18))&gt;0,COUNTIF($E$30:$E$51,INDEX(WuTrigger,18))&gt;0),1,0)</f>
        <v>0</v>
      </c>
      <c r="Z29" s="2" t="n">
        <f aca="false">INDEX(WuPriority,18)*1000+18</f>
        <v>6018</v>
      </c>
      <c r="AA29" s="2" t="str">
        <f aca="false">IF($Y29=0,"",SUMIFS(WuMin,$Y$12:$Y$60,1,$Z$12:$Z$60,"&lt;="&amp;$Z29))</f>
        <v/>
      </c>
      <c r="AB29" s="2" t="n">
        <f aca="false">IF(AND($Y29=1,$AA29&lt;=$B$6),1,0)</f>
        <v>0</v>
      </c>
      <c r="AC29" s="2" t="n">
        <f aca="false">INDEX(WuPhaseN,18)*1000+18</f>
        <v>2018</v>
      </c>
      <c r="AD29" s="2" t="str">
        <f aca="false">IF($AB29=0,"",COUNTIFS($AB$12:$AB$60,1,$AC$12:$AC$60,"&lt;"&amp;$AC29)+1)</f>
        <v/>
      </c>
      <c r="AE29" s="2"/>
      <c r="AF29" s="2" t="n">
        <f aca="false">IF(OR(INDEX(MoTarget,18)="Always",COUNTIF($E$30:$E$51,INDEX(MoTarget,18))&gt;0,COUNTIF($F$30:$F$51,"*"&amp;INDEX(MoTarget,18)&amp;"*")&gt;0),1,0)</f>
        <v>0</v>
      </c>
      <c r="AG29" s="2" t="n">
        <f aca="false">INDEX(MoPriority,18)*1000+18</f>
        <v>2018</v>
      </c>
      <c r="AH29" s="2" t="str">
        <f aca="false">IF($AF29=0,"",SUMIFS(MoMin,$AF$12:$AF$54,1,$AG$12:$AG$54,"&lt;="&amp;$AG29))</f>
        <v/>
      </c>
      <c r="AI29" s="2" t="n">
        <f aca="false">IF(AND($AF29=1,$AH29&lt;=$B$7),1,0)</f>
        <v>0</v>
      </c>
      <c r="AJ29" s="2" t="n">
        <f aca="false">INDEX(MoTypeN,18)*1000+18</f>
        <v>2018</v>
      </c>
      <c r="AK29" s="2" t="str">
        <f aca="false">IF($AI29=0,"",COUNTIFS($AI$12:$AI$54,1,$AJ$12:$AJ$54,"&lt;"&amp;$AJ29)+1)</f>
        <v/>
      </c>
    </row>
    <row r="30" customFormat="false" ht="30" hidden="false" customHeight="true" outlineLevel="0" collapsed="false">
      <c r="A30" s="19" t="n">
        <v>1</v>
      </c>
      <c r="B30" s="41"/>
      <c r="C30" s="42" t="str">
        <f aca="false">IF($B30="","",IFERROR(INDEX(ExEquip,MATCH($B30,ExName,0)),"?"))</f>
        <v/>
      </c>
      <c r="D30" s="42" t="str">
        <f aca="false">IF($B30="","",IFERROR(INDEX(ExPattern,MATCH($B30,ExName,0)),"?"))</f>
        <v/>
      </c>
      <c r="E30" s="42" t="str">
        <f aca="false">IF($B30="","",IFERROR(INDEX(ExPrimary,MATCH($B30,ExName,0)),"?"))</f>
        <v/>
      </c>
      <c r="F30" s="43" t="str">
        <f aca="false">IF($B30="","",IFERROR(INDEX(ExSecondary,MATCH($B30,ExName,0)),""))</f>
        <v/>
      </c>
      <c r="G30" s="42" t="str">
        <f aca="false">IF($B30="","",IFERROR(INDEX(ExProfile,MATCH($B30,ExName,0)),"?"))</f>
        <v/>
      </c>
      <c r="H30" s="35" t="str">
        <f aca="false">IF($G30="","",IFERROR(INDEX(PrSets,MATCH($G30&amp;"|"&amp;$B$5,PrKey,0)),"?"))</f>
        <v/>
      </c>
      <c r="I30" s="35" t="str">
        <f aca="false">IF($G30="","",IFERROR(INDEX(PrReps,MATCH($G30&amp;"|"&amp;$B$5,PrKey,0)),"?"))</f>
        <v/>
      </c>
      <c r="J30" s="35" t="str">
        <f aca="false">IF($G30="","",IFERROR(INDEX(PrLoad,MATCH($G30&amp;"|"&amp;$B$5,PrKey,0)),"?"))</f>
        <v/>
      </c>
      <c r="K30" s="35" t="str">
        <f aca="false">IF($B30="","",IF(N($S30)=0,"Bodyweight / RPE",IF(N($R30)=0,"Enter 1RM in library",TEXT(MROUND($R30*$S30,2.5),"0.0")&amp;"–"&amp;TEXT(MROUND($R30*$T30,2.5),"0.0")&amp;" kg")))</f>
        <v/>
      </c>
      <c r="L30" s="35" t="str">
        <f aca="false">IF($G30="","",IFERROR(INDEX(PrRest,MATCH($G30&amp;"|"&amp;$B$5,PrKey,0)),"?"))</f>
        <v/>
      </c>
      <c r="M30" s="43" t="str">
        <f aca="false">IF($G30="","",IFERROR(INDEX(PrNote,MATCH($G30&amp;"|"&amp;$B$5,PrKey,0)),""))</f>
        <v/>
      </c>
      <c r="N30" s="44"/>
      <c r="O30" s="45"/>
      <c r="P30" s="35" t="str">
        <f aca="false">IF(OR($B30="",$U30=""),"",IF($U30=0,0,ROUND(($U30*($V30+$W30)+TimeSetup)/60,0)))</f>
        <v/>
      </c>
      <c r="Q30" s="2"/>
      <c r="R30" s="2" t="str">
        <f aca="false">IF($B30="","",IFERROR(INDEX(Ex1RM,MATCH($B30,ExName,0)),""))</f>
        <v/>
      </c>
      <c r="S30" s="2" t="str">
        <f aca="false">IF($G30="","",IFERROR(INDEX(PrMin,MATCH($G30&amp;"|"&amp;$B$5,PrKey,0)),""))</f>
        <v/>
      </c>
      <c r="T30" s="2" t="str">
        <f aca="false">IF($G30="","",IFERROR(INDEX(PrMax,MATCH($G30&amp;"|"&amp;$B$5,PrKey,0)),""))</f>
        <v/>
      </c>
      <c r="U30" s="2" t="str">
        <f aca="false">IF($G30="","",IFERROR(INDEX(PrSetsN,MATCH($G30&amp;"|"&amp;$B$5,PrKey,0)),""))</f>
        <v/>
      </c>
      <c r="V30" s="2" t="str">
        <f aca="false">IF($G30="","",IFERROR(INDEX(PrWorkS,MATCH($G30&amp;"|"&amp;$B$5,PrKey,0)),""))</f>
        <v/>
      </c>
      <c r="W30" s="2" t="str">
        <f aca="false">IF($G30="","",IFERROR(INDEX(PrRestS,MATCH($G30&amp;"|"&amp;$B$5,PrKey,0)),""))</f>
        <v/>
      </c>
      <c r="X30" s="2"/>
      <c r="Y30" s="2" t="n">
        <f aca="false">IF(OR(INDEX(WuTrigger,19)="Always",COUNTIF($D$30:$D$51,INDEX(WuTrigger,19))&gt;0,COUNTIF($E$30:$E$51,INDEX(WuTrigger,19))&gt;0),1,0)</f>
        <v>0</v>
      </c>
      <c r="Z30" s="2" t="n">
        <f aca="false">INDEX(WuPriority,19)*1000+19</f>
        <v>4019</v>
      </c>
      <c r="AA30" s="2" t="str">
        <f aca="false">IF($Y30=0,"",SUMIFS(WuMin,$Y$12:$Y$60,1,$Z$12:$Z$60,"&lt;="&amp;$Z30))</f>
        <v/>
      </c>
      <c r="AB30" s="2" t="n">
        <f aca="false">IF(AND($Y30=1,$AA30&lt;=$B$6),1,0)</f>
        <v>0</v>
      </c>
      <c r="AC30" s="2" t="n">
        <f aca="false">INDEX(WuPhaseN,19)*1000+19</f>
        <v>3019</v>
      </c>
      <c r="AD30" s="2" t="str">
        <f aca="false">IF($AB30=0,"",COUNTIFS($AB$12:$AB$60,1,$AC$12:$AC$60,"&lt;"&amp;$AC30)+1)</f>
        <v/>
      </c>
      <c r="AE30" s="2"/>
      <c r="AF30" s="2" t="n">
        <f aca="false">IF(OR(INDEX(MoTarget,19)="Always",COUNTIF($E$30:$E$51,INDEX(MoTarget,19))&gt;0,COUNTIF($F$30:$F$51,"*"&amp;INDEX(MoTarget,19)&amp;"*")&gt;0),1,0)</f>
        <v>0</v>
      </c>
      <c r="AG30" s="2" t="n">
        <f aca="false">INDEX(MoPriority,19)*1000+19</f>
        <v>3019</v>
      </c>
      <c r="AH30" s="2" t="str">
        <f aca="false">IF($AF30=0,"",SUMIFS(MoMin,$AF$12:$AF$54,1,$AG$12:$AG$54,"&lt;="&amp;$AG30))</f>
        <v/>
      </c>
      <c r="AI30" s="2" t="n">
        <f aca="false">IF(AND($AF30=1,$AH30&lt;=$B$7),1,0)</f>
        <v>0</v>
      </c>
      <c r="AJ30" s="2" t="n">
        <f aca="false">INDEX(MoTypeN,19)*1000+19</f>
        <v>2019</v>
      </c>
      <c r="AK30" s="2" t="str">
        <f aca="false">IF($AI30=0,"",COUNTIFS($AI$12:$AI$54,1,$AJ$12:$AJ$54,"&lt;"&amp;$AJ30)+1)</f>
        <v/>
      </c>
    </row>
    <row r="31" customFormat="false" ht="30" hidden="false" customHeight="true" outlineLevel="0" collapsed="false">
      <c r="A31" s="19" t="n">
        <v>2</v>
      </c>
      <c r="B31" s="41"/>
      <c r="C31" s="42" t="str">
        <f aca="false">IF($B31="","",IFERROR(INDEX(ExEquip,MATCH($B31,ExName,0)),"?"))</f>
        <v/>
      </c>
      <c r="D31" s="42" t="str">
        <f aca="false">IF($B31="","",IFERROR(INDEX(ExPattern,MATCH($B31,ExName,0)),"?"))</f>
        <v/>
      </c>
      <c r="E31" s="42" t="str">
        <f aca="false">IF($B31="","",IFERROR(INDEX(ExPrimary,MATCH($B31,ExName,0)),"?"))</f>
        <v/>
      </c>
      <c r="F31" s="43" t="str">
        <f aca="false">IF($B31="","",IFERROR(INDEX(ExSecondary,MATCH($B31,ExName,0)),""))</f>
        <v/>
      </c>
      <c r="G31" s="42" t="str">
        <f aca="false">IF($B31="","",IFERROR(INDEX(ExProfile,MATCH($B31,ExName,0)),"?"))</f>
        <v/>
      </c>
      <c r="H31" s="35" t="str">
        <f aca="false">IF($G31="","",IFERROR(INDEX(PrSets,MATCH($G31&amp;"|"&amp;$B$5,PrKey,0)),"?"))</f>
        <v/>
      </c>
      <c r="I31" s="35" t="str">
        <f aca="false">IF($G31="","",IFERROR(INDEX(PrReps,MATCH($G31&amp;"|"&amp;$B$5,PrKey,0)),"?"))</f>
        <v/>
      </c>
      <c r="J31" s="35" t="str">
        <f aca="false">IF($G31="","",IFERROR(INDEX(PrLoad,MATCH($G31&amp;"|"&amp;$B$5,PrKey,0)),"?"))</f>
        <v/>
      </c>
      <c r="K31" s="35" t="str">
        <f aca="false">IF($B31="","",IF(N($S31)=0,"Bodyweight / RPE",IF(N($R31)=0,"Enter 1RM in library",TEXT(MROUND($R31*$S31,2.5),"0.0")&amp;"–"&amp;TEXT(MROUND($R31*$T31,2.5),"0.0")&amp;" kg")))</f>
        <v/>
      </c>
      <c r="L31" s="35" t="str">
        <f aca="false">IF($G31="","",IFERROR(INDEX(PrRest,MATCH($G31&amp;"|"&amp;$B$5,PrKey,0)),"?"))</f>
        <v/>
      </c>
      <c r="M31" s="43" t="str">
        <f aca="false">IF($G31="","",IFERROR(INDEX(PrNote,MATCH($G31&amp;"|"&amp;$B$5,PrKey,0)),""))</f>
        <v/>
      </c>
      <c r="N31" s="44"/>
      <c r="O31" s="45"/>
      <c r="P31" s="35" t="str">
        <f aca="false">IF(OR($B31="",$U31=""),"",IF($U31=0,0,ROUND(($U31*($V31+$W31)+TimeSetup)/60,0)))</f>
        <v/>
      </c>
      <c r="Q31" s="2"/>
      <c r="R31" s="2" t="str">
        <f aca="false">IF($B31="","",IFERROR(INDEX(Ex1RM,MATCH($B31,ExName,0)),""))</f>
        <v/>
      </c>
      <c r="S31" s="2" t="str">
        <f aca="false">IF($G31="","",IFERROR(INDEX(PrMin,MATCH($G31&amp;"|"&amp;$B$5,PrKey,0)),""))</f>
        <v/>
      </c>
      <c r="T31" s="2" t="str">
        <f aca="false">IF($G31="","",IFERROR(INDEX(PrMax,MATCH($G31&amp;"|"&amp;$B$5,PrKey,0)),""))</f>
        <v/>
      </c>
      <c r="U31" s="2" t="str">
        <f aca="false">IF($G31="","",IFERROR(INDEX(PrSetsN,MATCH($G31&amp;"|"&amp;$B$5,PrKey,0)),""))</f>
        <v/>
      </c>
      <c r="V31" s="2" t="str">
        <f aca="false">IF($G31="","",IFERROR(INDEX(PrWorkS,MATCH($G31&amp;"|"&amp;$B$5,PrKey,0)),""))</f>
        <v/>
      </c>
      <c r="W31" s="2" t="str">
        <f aca="false">IF($G31="","",IFERROR(INDEX(PrRestS,MATCH($G31&amp;"|"&amp;$B$5,PrKey,0)),""))</f>
        <v/>
      </c>
      <c r="X31" s="2"/>
      <c r="Y31" s="2" t="n">
        <f aca="false">IF(OR(INDEX(WuTrigger,20)="Always",COUNTIF($D$30:$D$51,INDEX(WuTrigger,20))&gt;0,COUNTIF($E$30:$E$51,INDEX(WuTrigger,20))&gt;0),1,0)</f>
        <v>0</v>
      </c>
      <c r="Z31" s="2" t="n">
        <f aca="false">INDEX(WuPriority,20)*1000+20</f>
        <v>5020</v>
      </c>
      <c r="AA31" s="2" t="str">
        <f aca="false">IF($Y31=0,"",SUMIFS(WuMin,$Y$12:$Y$60,1,$Z$12:$Z$60,"&lt;="&amp;$Z31))</f>
        <v/>
      </c>
      <c r="AB31" s="2" t="n">
        <f aca="false">IF(AND($Y31=1,$AA31&lt;=$B$6),1,0)</f>
        <v>0</v>
      </c>
      <c r="AC31" s="2" t="n">
        <f aca="false">INDEX(WuPhaseN,20)*1000+20</f>
        <v>2020</v>
      </c>
      <c r="AD31" s="2" t="str">
        <f aca="false">IF($AB31=0,"",COUNTIFS($AB$12:$AB$60,1,$AC$12:$AC$60,"&lt;"&amp;$AC31)+1)</f>
        <v/>
      </c>
      <c r="AE31" s="2"/>
      <c r="AF31" s="2" t="n">
        <f aca="false">IF(OR(INDEX(MoTarget,20)="Always",COUNTIF($E$30:$E$51,INDEX(MoTarget,20))&gt;0,COUNTIF($F$30:$F$51,"*"&amp;INDEX(MoTarget,20)&amp;"*")&gt;0),1,0)</f>
        <v>0</v>
      </c>
      <c r="AG31" s="2" t="n">
        <f aca="false">INDEX(MoPriority,20)*1000+20</f>
        <v>4020</v>
      </c>
      <c r="AH31" s="2" t="str">
        <f aca="false">IF($AF31=0,"",SUMIFS(MoMin,$AF$12:$AF$54,1,$AG$12:$AG$54,"&lt;="&amp;$AG31))</f>
        <v/>
      </c>
      <c r="AI31" s="2" t="n">
        <f aca="false">IF(AND($AF31=1,$AH31&lt;=$B$7),1,0)</f>
        <v>0</v>
      </c>
      <c r="AJ31" s="2" t="n">
        <f aca="false">INDEX(MoTypeN,20)*1000+20</f>
        <v>2020</v>
      </c>
      <c r="AK31" s="2" t="str">
        <f aca="false">IF($AI31=0,"",COUNTIFS($AI$12:$AI$54,1,$AJ$12:$AJ$54,"&lt;"&amp;$AJ31)+1)</f>
        <v/>
      </c>
    </row>
    <row r="32" customFormat="false" ht="30" hidden="false" customHeight="true" outlineLevel="0" collapsed="false">
      <c r="A32" s="19" t="n">
        <v>3</v>
      </c>
      <c r="B32" s="41"/>
      <c r="C32" s="42" t="str">
        <f aca="false">IF($B32="","",IFERROR(INDEX(ExEquip,MATCH($B32,ExName,0)),"?"))</f>
        <v/>
      </c>
      <c r="D32" s="42" t="str">
        <f aca="false">IF($B32="","",IFERROR(INDEX(ExPattern,MATCH($B32,ExName,0)),"?"))</f>
        <v/>
      </c>
      <c r="E32" s="42" t="str">
        <f aca="false">IF($B32="","",IFERROR(INDEX(ExPrimary,MATCH($B32,ExName,0)),"?"))</f>
        <v/>
      </c>
      <c r="F32" s="43" t="str">
        <f aca="false">IF($B32="","",IFERROR(INDEX(ExSecondary,MATCH($B32,ExName,0)),""))</f>
        <v/>
      </c>
      <c r="G32" s="42" t="str">
        <f aca="false">IF($B32="","",IFERROR(INDEX(ExProfile,MATCH($B32,ExName,0)),"?"))</f>
        <v/>
      </c>
      <c r="H32" s="35" t="str">
        <f aca="false">IF($G32="","",IFERROR(INDEX(PrSets,MATCH($G32&amp;"|"&amp;$B$5,PrKey,0)),"?"))</f>
        <v/>
      </c>
      <c r="I32" s="35" t="str">
        <f aca="false">IF($G32="","",IFERROR(INDEX(PrReps,MATCH($G32&amp;"|"&amp;$B$5,PrKey,0)),"?"))</f>
        <v/>
      </c>
      <c r="J32" s="35" t="str">
        <f aca="false">IF($G32="","",IFERROR(INDEX(PrLoad,MATCH($G32&amp;"|"&amp;$B$5,PrKey,0)),"?"))</f>
        <v/>
      </c>
      <c r="K32" s="35" t="str">
        <f aca="false">IF($B32="","",IF(N($S32)=0,"Bodyweight / RPE",IF(N($R32)=0,"Enter 1RM in library",TEXT(MROUND($R32*$S32,2.5),"0.0")&amp;"–"&amp;TEXT(MROUND($R32*$T32,2.5),"0.0")&amp;" kg")))</f>
        <v/>
      </c>
      <c r="L32" s="35" t="str">
        <f aca="false">IF($G32="","",IFERROR(INDEX(PrRest,MATCH($G32&amp;"|"&amp;$B$5,PrKey,0)),"?"))</f>
        <v/>
      </c>
      <c r="M32" s="43" t="str">
        <f aca="false">IF($G32="","",IFERROR(INDEX(PrNote,MATCH($G32&amp;"|"&amp;$B$5,PrKey,0)),""))</f>
        <v/>
      </c>
      <c r="N32" s="44"/>
      <c r="O32" s="45"/>
      <c r="P32" s="35" t="str">
        <f aca="false">IF(OR($B32="",$U32=""),"",IF($U32=0,0,ROUND(($U32*($V32+$W32)+TimeSetup)/60,0)))</f>
        <v/>
      </c>
      <c r="Q32" s="2"/>
      <c r="R32" s="2" t="str">
        <f aca="false">IF($B32="","",IFERROR(INDEX(Ex1RM,MATCH($B32,ExName,0)),""))</f>
        <v/>
      </c>
      <c r="S32" s="2" t="str">
        <f aca="false">IF($G32="","",IFERROR(INDEX(PrMin,MATCH($G32&amp;"|"&amp;$B$5,PrKey,0)),""))</f>
        <v/>
      </c>
      <c r="T32" s="2" t="str">
        <f aca="false">IF($G32="","",IFERROR(INDEX(PrMax,MATCH($G32&amp;"|"&amp;$B$5,PrKey,0)),""))</f>
        <v/>
      </c>
      <c r="U32" s="2" t="str">
        <f aca="false">IF($G32="","",IFERROR(INDEX(PrSetsN,MATCH($G32&amp;"|"&amp;$B$5,PrKey,0)),""))</f>
        <v/>
      </c>
      <c r="V32" s="2" t="str">
        <f aca="false">IF($G32="","",IFERROR(INDEX(PrWorkS,MATCH($G32&amp;"|"&amp;$B$5,PrKey,0)),""))</f>
        <v/>
      </c>
      <c r="W32" s="2" t="str">
        <f aca="false">IF($G32="","",IFERROR(INDEX(PrRestS,MATCH($G32&amp;"|"&amp;$B$5,PrKey,0)),""))</f>
        <v/>
      </c>
      <c r="X32" s="2"/>
      <c r="Y32" s="2" t="n">
        <f aca="false">IF(OR(INDEX(WuTrigger,21)="Always",COUNTIF($D$30:$D$51,INDEX(WuTrigger,21))&gt;0,COUNTIF($E$30:$E$51,INDEX(WuTrigger,21))&gt;0),1,0)</f>
        <v>0</v>
      </c>
      <c r="Z32" s="2" t="n">
        <f aca="false">INDEX(WuPriority,21)*1000+21</f>
        <v>3021</v>
      </c>
      <c r="AA32" s="2" t="str">
        <f aca="false">IF($Y32=0,"",SUMIFS(WuMin,$Y$12:$Y$60,1,$Z$12:$Z$60,"&lt;="&amp;$Z32))</f>
        <v/>
      </c>
      <c r="AB32" s="2" t="n">
        <f aca="false">IF(AND($Y32=1,$AA32&lt;=$B$6),1,0)</f>
        <v>0</v>
      </c>
      <c r="AC32" s="2" t="n">
        <f aca="false">INDEX(WuPhaseN,21)*1000+21</f>
        <v>3021</v>
      </c>
      <c r="AD32" s="2" t="str">
        <f aca="false">IF($AB32=0,"",COUNTIFS($AB$12:$AB$60,1,$AC$12:$AC$60,"&lt;"&amp;$AC32)+1)</f>
        <v/>
      </c>
      <c r="AE32" s="2"/>
      <c r="AF32" s="2" t="n">
        <f aca="false">IF(OR(INDEX(MoTarget,21)="Always",COUNTIF($E$30:$E$51,INDEX(MoTarget,21))&gt;0,COUNTIF($F$30:$F$51,"*"&amp;INDEX(MoTarget,21)&amp;"*")&gt;0),1,0)</f>
        <v>0</v>
      </c>
      <c r="AG32" s="2" t="n">
        <f aca="false">INDEX(MoPriority,21)*1000+21</f>
        <v>2021</v>
      </c>
      <c r="AH32" s="2" t="str">
        <f aca="false">IF($AF32=0,"",SUMIFS(MoMin,$AF$12:$AF$54,1,$AG$12:$AG$54,"&lt;="&amp;$AG32))</f>
        <v/>
      </c>
      <c r="AI32" s="2" t="n">
        <f aca="false">IF(AND($AF32=1,$AH32&lt;=$B$7),1,0)</f>
        <v>0</v>
      </c>
      <c r="AJ32" s="2" t="n">
        <f aca="false">INDEX(MoTypeN,21)*1000+21</f>
        <v>2021</v>
      </c>
      <c r="AK32" s="2" t="str">
        <f aca="false">IF($AI32=0,"",COUNTIFS($AI$12:$AI$54,1,$AJ$12:$AJ$54,"&lt;"&amp;$AJ32)+1)</f>
        <v/>
      </c>
    </row>
    <row r="33" customFormat="false" ht="30" hidden="false" customHeight="true" outlineLevel="0" collapsed="false">
      <c r="A33" s="19" t="n">
        <v>4</v>
      </c>
      <c r="B33" s="41"/>
      <c r="C33" s="42" t="str">
        <f aca="false">IF($B33="","",IFERROR(INDEX(ExEquip,MATCH($B33,ExName,0)),"?"))</f>
        <v/>
      </c>
      <c r="D33" s="42" t="str">
        <f aca="false">IF($B33="","",IFERROR(INDEX(ExPattern,MATCH($B33,ExName,0)),"?"))</f>
        <v/>
      </c>
      <c r="E33" s="42" t="str">
        <f aca="false">IF($B33="","",IFERROR(INDEX(ExPrimary,MATCH($B33,ExName,0)),"?"))</f>
        <v/>
      </c>
      <c r="F33" s="43" t="str">
        <f aca="false">IF($B33="","",IFERROR(INDEX(ExSecondary,MATCH($B33,ExName,0)),""))</f>
        <v/>
      </c>
      <c r="G33" s="42" t="str">
        <f aca="false">IF($B33="","",IFERROR(INDEX(ExProfile,MATCH($B33,ExName,0)),"?"))</f>
        <v/>
      </c>
      <c r="H33" s="35" t="str">
        <f aca="false">IF($G33="","",IFERROR(INDEX(PrSets,MATCH($G33&amp;"|"&amp;$B$5,PrKey,0)),"?"))</f>
        <v/>
      </c>
      <c r="I33" s="35" t="str">
        <f aca="false">IF($G33="","",IFERROR(INDEX(PrReps,MATCH($G33&amp;"|"&amp;$B$5,PrKey,0)),"?"))</f>
        <v/>
      </c>
      <c r="J33" s="35" t="str">
        <f aca="false">IF($G33="","",IFERROR(INDEX(PrLoad,MATCH($G33&amp;"|"&amp;$B$5,PrKey,0)),"?"))</f>
        <v/>
      </c>
      <c r="K33" s="35" t="str">
        <f aca="false">IF($B33="","",IF(N($S33)=0,"Bodyweight / RPE",IF(N($R33)=0,"Enter 1RM in library",TEXT(MROUND($R33*$S33,2.5),"0.0")&amp;"–"&amp;TEXT(MROUND($R33*$T33,2.5),"0.0")&amp;" kg")))</f>
        <v/>
      </c>
      <c r="L33" s="35" t="str">
        <f aca="false">IF($G33="","",IFERROR(INDEX(PrRest,MATCH($G33&amp;"|"&amp;$B$5,PrKey,0)),"?"))</f>
        <v/>
      </c>
      <c r="M33" s="43" t="str">
        <f aca="false">IF($G33="","",IFERROR(INDEX(PrNote,MATCH($G33&amp;"|"&amp;$B$5,PrKey,0)),""))</f>
        <v/>
      </c>
      <c r="N33" s="44"/>
      <c r="O33" s="45"/>
      <c r="P33" s="35" t="str">
        <f aca="false">IF(OR($B33="",$U33=""),"",IF($U33=0,0,ROUND(($U33*($V33+$W33)+TimeSetup)/60,0)))</f>
        <v/>
      </c>
      <c r="Q33" s="2"/>
      <c r="R33" s="2" t="str">
        <f aca="false">IF($B33="","",IFERROR(INDEX(Ex1RM,MATCH($B33,ExName,0)),""))</f>
        <v/>
      </c>
      <c r="S33" s="2" t="str">
        <f aca="false">IF($G33="","",IFERROR(INDEX(PrMin,MATCH($G33&amp;"|"&amp;$B$5,PrKey,0)),""))</f>
        <v/>
      </c>
      <c r="T33" s="2" t="str">
        <f aca="false">IF($G33="","",IFERROR(INDEX(PrMax,MATCH($G33&amp;"|"&amp;$B$5,PrKey,0)),""))</f>
        <v/>
      </c>
      <c r="U33" s="2" t="str">
        <f aca="false">IF($G33="","",IFERROR(INDEX(PrSetsN,MATCH($G33&amp;"|"&amp;$B$5,PrKey,0)),""))</f>
        <v/>
      </c>
      <c r="V33" s="2" t="str">
        <f aca="false">IF($G33="","",IFERROR(INDEX(PrWorkS,MATCH($G33&amp;"|"&amp;$B$5,PrKey,0)),""))</f>
        <v/>
      </c>
      <c r="W33" s="2" t="str">
        <f aca="false">IF($G33="","",IFERROR(INDEX(PrRestS,MATCH($G33&amp;"|"&amp;$B$5,PrKey,0)),""))</f>
        <v/>
      </c>
      <c r="X33" s="2"/>
      <c r="Y33" s="2" t="n">
        <f aca="false">IF(OR(INDEX(WuTrigger,22)="Always",COUNTIF($D$30:$D$51,INDEX(WuTrigger,22))&gt;0,COUNTIF($E$30:$E$51,INDEX(WuTrigger,22))&gt;0),1,0)</f>
        <v>0</v>
      </c>
      <c r="Z33" s="2" t="n">
        <f aca="false">INDEX(WuPriority,22)*1000+22</f>
        <v>6022</v>
      </c>
      <c r="AA33" s="2" t="str">
        <f aca="false">IF($Y33=0,"",SUMIFS(WuMin,$Y$12:$Y$60,1,$Z$12:$Z$60,"&lt;="&amp;$Z33))</f>
        <v/>
      </c>
      <c r="AB33" s="2" t="n">
        <f aca="false">IF(AND($Y33=1,$AA33&lt;=$B$6),1,0)</f>
        <v>0</v>
      </c>
      <c r="AC33" s="2" t="n">
        <f aca="false">INDEX(WuPhaseN,22)*1000+22</f>
        <v>2022</v>
      </c>
      <c r="AD33" s="2" t="str">
        <f aca="false">IF($AB33=0,"",COUNTIFS($AB$12:$AB$60,1,$AC$12:$AC$60,"&lt;"&amp;$AC33)+1)</f>
        <v/>
      </c>
      <c r="AE33" s="2"/>
      <c r="AF33" s="2" t="n">
        <f aca="false">IF(OR(INDEX(MoTarget,22)="Always",COUNTIF($E$30:$E$51,INDEX(MoTarget,22))&gt;0,COUNTIF($F$30:$F$51,"*"&amp;INDEX(MoTarget,22)&amp;"*")&gt;0),1,0)</f>
        <v>0</v>
      </c>
      <c r="AG33" s="2" t="n">
        <f aca="false">INDEX(MoPriority,22)*1000+22</f>
        <v>3022</v>
      </c>
      <c r="AH33" s="2" t="str">
        <f aca="false">IF($AF33=0,"",SUMIFS(MoMin,$AF$12:$AF$54,1,$AG$12:$AG$54,"&lt;="&amp;$AG33))</f>
        <v/>
      </c>
      <c r="AI33" s="2" t="n">
        <f aca="false">IF(AND($AF33=1,$AH33&lt;=$B$7),1,0)</f>
        <v>0</v>
      </c>
      <c r="AJ33" s="2" t="n">
        <f aca="false">INDEX(MoTypeN,22)*1000+22</f>
        <v>2022</v>
      </c>
      <c r="AK33" s="2" t="str">
        <f aca="false">IF($AI33=0,"",COUNTIFS($AI$12:$AI$54,1,$AJ$12:$AJ$54,"&lt;"&amp;$AJ33)+1)</f>
        <v/>
      </c>
    </row>
    <row r="34" customFormat="false" ht="30" hidden="false" customHeight="true" outlineLevel="0" collapsed="false">
      <c r="A34" s="19" t="n">
        <v>5</v>
      </c>
      <c r="B34" s="41"/>
      <c r="C34" s="42" t="str">
        <f aca="false">IF($B34="","",IFERROR(INDEX(ExEquip,MATCH($B34,ExName,0)),"?"))</f>
        <v/>
      </c>
      <c r="D34" s="42" t="str">
        <f aca="false">IF($B34="","",IFERROR(INDEX(ExPattern,MATCH($B34,ExName,0)),"?"))</f>
        <v/>
      </c>
      <c r="E34" s="42" t="str">
        <f aca="false">IF($B34="","",IFERROR(INDEX(ExPrimary,MATCH($B34,ExName,0)),"?"))</f>
        <v/>
      </c>
      <c r="F34" s="43" t="str">
        <f aca="false">IF($B34="","",IFERROR(INDEX(ExSecondary,MATCH($B34,ExName,0)),""))</f>
        <v/>
      </c>
      <c r="G34" s="42" t="str">
        <f aca="false">IF($B34="","",IFERROR(INDEX(ExProfile,MATCH($B34,ExName,0)),"?"))</f>
        <v/>
      </c>
      <c r="H34" s="35" t="str">
        <f aca="false">IF($G34="","",IFERROR(INDEX(PrSets,MATCH($G34&amp;"|"&amp;$B$5,PrKey,0)),"?"))</f>
        <v/>
      </c>
      <c r="I34" s="35" t="str">
        <f aca="false">IF($G34="","",IFERROR(INDEX(PrReps,MATCH($G34&amp;"|"&amp;$B$5,PrKey,0)),"?"))</f>
        <v/>
      </c>
      <c r="J34" s="35" t="str">
        <f aca="false">IF($G34="","",IFERROR(INDEX(PrLoad,MATCH($G34&amp;"|"&amp;$B$5,PrKey,0)),"?"))</f>
        <v/>
      </c>
      <c r="K34" s="35" t="str">
        <f aca="false">IF($B34="","",IF(N($S34)=0,"Bodyweight / RPE",IF(N($R34)=0,"Enter 1RM in library",TEXT(MROUND($R34*$S34,2.5),"0.0")&amp;"–"&amp;TEXT(MROUND($R34*$T34,2.5),"0.0")&amp;" kg")))</f>
        <v/>
      </c>
      <c r="L34" s="35" t="str">
        <f aca="false">IF($G34="","",IFERROR(INDEX(PrRest,MATCH($G34&amp;"|"&amp;$B$5,PrKey,0)),"?"))</f>
        <v/>
      </c>
      <c r="M34" s="43" t="str">
        <f aca="false">IF($G34="","",IFERROR(INDEX(PrNote,MATCH($G34&amp;"|"&amp;$B$5,PrKey,0)),""))</f>
        <v/>
      </c>
      <c r="N34" s="44"/>
      <c r="O34" s="45"/>
      <c r="P34" s="35" t="str">
        <f aca="false">IF(OR($B34="",$U34=""),"",IF($U34=0,0,ROUND(($U34*($V34+$W34)+TimeSetup)/60,0)))</f>
        <v/>
      </c>
      <c r="Q34" s="2"/>
      <c r="R34" s="2" t="str">
        <f aca="false">IF($B34="","",IFERROR(INDEX(Ex1RM,MATCH($B34,ExName,0)),""))</f>
        <v/>
      </c>
      <c r="S34" s="2" t="str">
        <f aca="false">IF($G34="","",IFERROR(INDEX(PrMin,MATCH($G34&amp;"|"&amp;$B$5,PrKey,0)),""))</f>
        <v/>
      </c>
      <c r="T34" s="2" t="str">
        <f aca="false">IF($G34="","",IFERROR(INDEX(PrMax,MATCH($G34&amp;"|"&amp;$B$5,PrKey,0)),""))</f>
        <v/>
      </c>
      <c r="U34" s="2" t="str">
        <f aca="false">IF($G34="","",IFERROR(INDEX(PrSetsN,MATCH($G34&amp;"|"&amp;$B$5,PrKey,0)),""))</f>
        <v/>
      </c>
      <c r="V34" s="2" t="str">
        <f aca="false">IF($G34="","",IFERROR(INDEX(PrWorkS,MATCH($G34&amp;"|"&amp;$B$5,PrKey,0)),""))</f>
        <v/>
      </c>
      <c r="W34" s="2" t="str">
        <f aca="false">IF($G34="","",IFERROR(INDEX(PrRestS,MATCH($G34&amp;"|"&amp;$B$5,PrKey,0)),""))</f>
        <v/>
      </c>
      <c r="X34" s="2"/>
      <c r="Y34" s="2" t="n">
        <f aca="false">IF(OR(INDEX(WuTrigger,23)="Always",COUNTIF($D$30:$D$51,INDEX(WuTrigger,23))&gt;0,COUNTIF($E$30:$E$51,INDEX(WuTrigger,23))&gt;0),1,0)</f>
        <v>0</v>
      </c>
      <c r="Z34" s="2" t="n">
        <f aca="false">INDEX(WuPriority,23)*1000+23</f>
        <v>3023</v>
      </c>
      <c r="AA34" s="2" t="str">
        <f aca="false">IF($Y34=0,"",SUMIFS(WuMin,$Y$12:$Y$60,1,$Z$12:$Z$60,"&lt;="&amp;$Z34))</f>
        <v/>
      </c>
      <c r="AB34" s="2" t="n">
        <f aca="false">IF(AND($Y34=1,$AA34&lt;=$B$6),1,0)</f>
        <v>0</v>
      </c>
      <c r="AC34" s="2" t="n">
        <f aca="false">INDEX(WuPhaseN,23)*1000+23</f>
        <v>3023</v>
      </c>
      <c r="AD34" s="2" t="str">
        <f aca="false">IF($AB34=0,"",COUNTIFS($AB$12:$AB$60,1,$AC$12:$AC$60,"&lt;"&amp;$AC34)+1)</f>
        <v/>
      </c>
      <c r="AE34" s="2"/>
      <c r="AF34" s="2" t="n">
        <f aca="false">IF(OR(INDEX(MoTarget,23)="Always",COUNTIF($E$30:$E$51,INDEX(MoTarget,23))&gt;0,COUNTIF($F$30:$F$51,"*"&amp;INDEX(MoTarget,23)&amp;"*")&gt;0),1,0)</f>
        <v>0</v>
      </c>
      <c r="AG34" s="2" t="n">
        <f aca="false">INDEX(MoPriority,23)*1000+23</f>
        <v>4023</v>
      </c>
      <c r="AH34" s="2" t="str">
        <f aca="false">IF($AF34=0,"",SUMIFS(MoMin,$AF$12:$AF$54,1,$AG$12:$AG$54,"&lt;="&amp;$AG34))</f>
        <v/>
      </c>
      <c r="AI34" s="2" t="n">
        <f aca="false">IF(AND($AF34=1,$AH34&lt;=$B$7),1,0)</f>
        <v>0</v>
      </c>
      <c r="AJ34" s="2" t="n">
        <f aca="false">INDEX(MoTypeN,23)*1000+23</f>
        <v>2023</v>
      </c>
      <c r="AK34" s="2" t="str">
        <f aca="false">IF($AI34=0,"",COUNTIFS($AI$12:$AI$54,1,$AJ$12:$AJ$54,"&lt;"&amp;$AJ34)+1)</f>
        <v/>
      </c>
    </row>
    <row r="35" customFormat="false" ht="30" hidden="false" customHeight="true" outlineLevel="0" collapsed="false">
      <c r="A35" s="19" t="n">
        <v>6</v>
      </c>
      <c r="B35" s="41"/>
      <c r="C35" s="42" t="str">
        <f aca="false">IF($B35="","",IFERROR(INDEX(ExEquip,MATCH($B35,ExName,0)),"?"))</f>
        <v/>
      </c>
      <c r="D35" s="42" t="str">
        <f aca="false">IF($B35="","",IFERROR(INDEX(ExPattern,MATCH($B35,ExName,0)),"?"))</f>
        <v/>
      </c>
      <c r="E35" s="42" t="str">
        <f aca="false">IF($B35="","",IFERROR(INDEX(ExPrimary,MATCH($B35,ExName,0)),"?"))</f>
        <v/>
      </c>
      <c r="F35" s="43" t="str">
        <f aca="false">IF($B35="","",IFERROR(INDEX(ExSecondary,MATCH($B35,ExName,0)),""))</f>
        <v/>
      </c>
      <c r="G35" s="42" t="str">
        <f aca="false">IF($B35="","",IFERROR(INDEX(ExProfile,MATCH($B35,ExName,0)),"?"))</f>
        <v/>
      </c>
      <c r="H35" s="35" t="str">
        <f aca="false">IF($G35="","",IFERROR(INDEX(PrSets,MATCH($G35&amp;"|"&amp;$B$5,PrKey,0)),"?"))</f>
        <v/>
      </c>
      <c r="I35" s="35" t="str">
        <f aca="false">IF($G35="","",IFERROR(INDEX(PrReps,MATCH($G35&amp;"|"&amp;$B$5,PrKey,0)),"?"))</f>
        <v/>
      </c>
      <c r="J35" s="35" t="str">
        <f aca="false">IF($G35="","",IFERROR(INDEX(PrLoad,MATCH($G35&amp;"|"&amp;$B$5,PrKey,0)),"?"))</f>
        <v/>
      </c>
      <c r="K35" s="35" t="str">
        <f aca="false">IF($B35="","",IF(N($S35)=0,"Bodyweight / RPE",IF(N($R35)=0,"Enter 1RM in library",TEXT(MROUND($R35*$S35,2.5),"0.0")&amp;"–"&amp;TEXT(MROUND($R35*$T35,2.5),"0.0")&amp;" kg")))</f>
        <v/>
      </c>
      <c r="L35" s="35" t="str">
        <f aca="false">IF($G35="","",IFERROR(INDEX(PrRest,MATCH($G35&amp;"|"&amp;$B$5,PrKey,0)),"?"))</f>
        <v/>
      </c>
      <c r="M35" s="43" t="str">
        <f aca="false">IF($G35="","",IFERROR(INDEX(PrNote,MATCH($G35&amp;"|"&amp;$B$5,PrKey,0)),""))</f>
        <v/>
      </c>
      <c r="N35" s="44"/>
      <c r="O35" s="45"/>
      <c r="P35" s="35" t="str">
        <f aca="false">IF(OR($B35="",$U35=""),"",IF($U35=0,0,ROUND(($U35*($V35+$W35)+TimeSetup)/60,0)))</f>
        <v/>
      </c>
      <c r="Q35" s="2"/>
      <c r="R35" s="2" t="str">
        <f aca="false">IF($B35="","",IFERROR(INDEX(Ex1RM,MATCH($B35,ExName,0)),""))</f>
        <v/>
      </c>
      <c r="S35" s="2" t="str">
        <f aca="false">IF($G35="","",IFERROR(INDEX(PrMin,MATCH($G35&amp;"|"&amp;$B$5,PrKey,0)),""))</f>
        <v/>
      </c>
      <c r="T35" s="2" t="str">
        <f aca="false">IF($G35="","",IFERROR(INDEX(PrMax,MATCH($G35&amp;"|"&amp;$B$5,PrKey,0)),""))</f>
        <v/>
      </c>
      <c r="U35" s="2" t="str">
        <f aca="false">IF($G35="","",IFERROR(INDEX(PrSetsN,MATCH($G35&amp;"|"&amp;$B$5,PrKey,0)),""))</f>
        <v/>
      </c>
      <c r="V35" s="2" t="str">
        <f aca="false">IF($G35="","",IFERROR(INDEX(PrWorkS,MATCH($G35&amp;"|"&amp;$B$5,PrKey,0)),""))</f>
        <v/>
      </c>
      <c r="W35" s="2" t="str">
        <f aca="false">IF($G35="","",IFERROR(INDEX(PrRestS,MATCH($G35&amp;"|"&amp;$B$5,PrKey,0)),""))</f>
        <v/>
      </c>
      <c r="X35" s="2"/>
      <c r="Y35" s="2" t="n">
        <f aca="false">IF(OR(INDEX(WuTrigger,24)="Always",COUNTIF($D$30:$D$51,INDEX(WuTrigger,24))&gt;0,COUNTIF($E$30:$E$51,INDEX(WuTrigger,24))&gt;0),1,0)</f>
        <v>0</v>
      </c>
      <c r="Z35" s="2" t="n">
        <f aca="false">INDEX(WuPriority,24)*1000+24</f>
        <v>5024</v>
      </c>
      <c r="AA35" s="2" t="str">
        <f aca="false">IF($Y35=0,"",SUMIFS(WuMin,$Y$12:$Y$60,1,$Z$12:$Z$60,"&lt;="&amp;$Z35))</f>
        <v/>
      </c>
      <c r="AB35" s="2" t="n">
        <f aca="false">IF(AND($Y35=1,$AA35&lt;=$B$6),1,0)</f>
        <v>0</v>
      </c>
      <c r="AC35" s="2" t="n">
        <f aca="false">INDEX(WuPhaseN,24)*1000+24</f>
        <v>3024</v>
      </c>
      <c r="AD35" s="2" t="str">
        <f aca="false">IF($AB35=0,"",COUNTIFS($AB$12:$AB$60,1,$AC$12:$AC$60,"&lt;"&amp;$AC35)+1)</f>
        <v/>
      </c>
      <c r="AE35" s="2"/>
      <c r="AF35" s="2" t="n">
        <f aca="false">IF(OR(INDEX(MoTarget,24)="Always",COUNTIF($E$30:$E$51,INDEX(MoTarget,24))&gt;0,COUNTIF($F$30:$F$51,"*"&amp;INDEX(MoTarget,24)&amp;"*")&gt;0),1,0)</f>
        <v>0</v>
      </c>
      <c r="AG35" s="2" t="n">
        <f aca="false">INDEX(MoPriority,24)*1000+24</f>
        <v>2024</v>
      </c>
      <c r="AH35" s="2" t="str">
        <f aca="false">IF($AF35=0,"",SUMIFS(MoMin,$AF$12:$AF$54,1,$AG$12:$AG$54,"&lt;="&amp;$AG35))</f>
        <v/>
      </c>
      <c r="AI35" s="2" t="n">
        <f aca="false">IF(AND($AF35=1,$AH35&lt;=$B$7),1,0)</f>
        <v>0</v>
      </c>
      <c r="AJ35" s="2" t="n">
        <f aca="false">INDEX(MoTypeN,24)*1000+24</f>
        <v>4024</v>
      </c>
      <c r="AK35" s="2" t="str">
        <f aca="false">IF($AI35=0,"",COUNTIFS($AI$12:$AI$54,1,$AJ$12:$AJ$54,"&lt;"&amp;$AJ35)+1)</f>
        <v/>
      </c>
    </row>
    <row r="36" customFormat="false" ht="30" hidden="false" customHeight="true" outlineLevel="0" collapsed="false">
      <c r="A36" s="19" t="n">
        <v>7</v>
      </c>
      <c r="B36" s="41"/>
      <c r="C36" s="42" t="str">
        <f aca="false">IF($B36="","",IFERROR(INDEX(ExEquip,MATCH($B36,ExName,0)),"?"))</f>
        <v/>
      </c>
      <c r="D36" s="42" t="str">
        <f aca="false">IF($B36="","",IFERROR(INDEX(ExPattern,MATCH($B36,ExName,0)),"?"))</f>
        <v/>
      </c>
      <c r="E36" s="42" t="str">
        <f aca="false">IF($B36="","",IFERROR(INDEX(ExPrimary,MATCH($B36,ExName,0)),"?"))</f>
        <v/>
      </c>
      <c r="F36" s="43" t="str">
        <f aca="false">IF($B36="","",IFERROR(INDEX(ExSecondary,MATCH($B36,ExName,0)),""))</f>
        <v/>
      </c>
      <c r="G36" s="42" t="str">
        <f aca="false">IF($B36="","",IFERROR(INDEX(ExProfile,MATCH($B36,ExName,0)),"?"))</f>
        <v/>
      </c>
      <c r="H36" s="35" t="str">
        <f aca="false">IF($G36="","",IFERROR(INDEX(PrSets,MATCH($G36&amp;"|"&amp;$B$5,PrKey,0)),"?"))</f>
        <v/>
      </c>
      <c r="I36" s="35" t="str">
        <f aca="false">IF($G36="","",IFERROR(INDEX(PrReps,MATCH($G36&amp;"|"&amp;$B$5,PrKey,0)),"?"))</f>
        <v/>
      </c>
      <c r="J36" s="35" t="str">
        <f aca="false">IF($G36="","",IFERROR(INDEX(PrLoad,MATCH($G36&amp;"|"&amp;$B$5,PrKey,0)),"?"))</f>
        <v/>
      </c>
      <c r="K36" s="35" t="str">
        <f aca="false">IF($B36="","",IF(N($S36)=0,"Bodyweight / RPE",IF(N($R36)=0,"Enter 1RM in library",TEXT(MROUND($R36*$S36,2.5),"0.0")&amp;"–"&amp;TEXT(MROUND($R36*$T36,2.5),"0.0")&amp;" kg")))</f>
        <v/>
      </c>
      <c r="L36" s="35" t="str">
        <f aca="false">IF($G36="","",IFERROR(INDEX(PrRest,MATCH($G36&amp;"|"&amp;$B$5,PrKey,0)),"?"))</f>
        <v/>
      </c>
      <c r="M36" s="43" t="str">
        <f aca="false">IF($G36="","",IFERROR(INDEX(PrNote,MATCH($G36&amp;"|"&amp;$B$5,PrKey,0)),""))</f>
        <v/>
      </c>
      <c r="N36" s="44"/>
      <c r="O36" s="45"/>
      <c r="P36" s="35" t="str">
        <f aca="false">IF(OR($B36="",$U36=""),"",IF($U36=0,0,ROUND(($U36*($V36+$W36)+TimeSetup)/60,0)))</f>
        <v/>
      </c>
      <c r="Q36" s="2"/>
      <c r="R36" s="2" t="str">
        <f aca="false">IF($B36="","",IFERROR(INDEX(Ex1RM,MATCH($B36,ExName,0)),""))</f>
        <v/>
      </c>
      <c r="S36" s="2" t="str">
        <f aca="false">IF($G36="","",IFERROR(INDEX(PrMin,MATCH($G36&amp;"|"&amp;$B$5,PrKey,0)),""))</f>
        <v/>
      </c>
      <c r="T36" s="2" t="str">
        <f aca="false">IF($G36="","",IFERROR(INDEX(PrMax,MATCH($G36&amp;"|"&amp;$B$5,PrKey,0)),""))</f>
        <v/>
      </c>
      <c r="U36" s="2" t="str">
        <f aca="false">IF($G36="","",IFERROR(INDEX(PrSetsN,MATCH($G36&amp;"|"&amp;$B$5,PrKey,0)),""))</f>
        <v/>
      </c>
      <c r="V36" s="2" t="str">
        <f aca="false">IF($G36="","",IFERROR(INDEX(PrWorkS,MATCH($G36&amp;"|"&amp;$B$5,PrKey,0)),""))</f>
        <v/>
      </c>
      <c r="W36" s="2" t="str">
        <f aca="false">IF($G36="","",IFERROR(INDEX(PrRestS,MATCH($G36&amp;"|"&amp;$B$5,PrKey,0)),""))</f>
        <v/>
      </c>
      <c r="X36" s="2"/>
      <c r="Y36" s="2" t="n">
        <f aca="false">IF(OR(INDEX(WuTrigger,25)="Always",COUNTIF($D$30:$D$51,INDEX(WuTrigger,25))&gt;0,COUNTIF($E$30:$E$51,INDEX(WuTrigger,25))&gt;0),1,0)</f>
        <v>0</v>
      </c>
      <c r="Z36" s="2" t="n">
        <f aca="false">INDEX(WuPriority,25)*1000+25</f>
        <v>5025</v>
      </c>
      <c r="AA36" s="2" t="str">
        <f aca="false">IF($Y36=0,"",SUMIFS(WuMin,$Y$12:$Y$60,1,$Z$12:$Z$60,"&lt;="&amp;$Z36))</f>
        <v/>
      </c>
      <c r="AB36" s="2" t="n">
        <f aca="false">IF(AND($Y36=1,$AA36&lt;=$B$6),1,0)</f>
        <v>0</v>
      </c>
      <c r="AC36" s="2" t="n">
        <f aca="false">INDEX(WuPhaseN,25)*1000+25</f>
        <v>2025</v>
      </c>
      <c r="AD36" s="2" t="str">
        <f aca="false">IF($AB36=0,"",COUNTIFS($AB$12:$AB$60,1,$AC$12:$AC$60,"&lt;"&amp;$AC36)+1)</f>
        <v/>
      </c>
      <c r="AE36" s="2"/>
      <c r="AF36" s="2" t="n">
        <f aca="false">IF(OR(INDEX(MoTarget,25)="Always",COUNTIF($E$30:$E$51,INDEX(MoTarget,25))&gt;0,COUNTIF($F$30:$F$51,"*"&amp;INDEX(MoTarget,25)&amp;"*")&gt;0),1,0)</f>
        <v>0</v>
      </c>
      <c r="AG36" s="2" t="n">
        <f aca="false">INDEX(MoPriority,25)*1000+25</f>
        <v>2025</v>
      </c>
      <c r="AH36" s="2" t="str">
        <f aca="false">IF($AF36=0,"",SUMIFS(MoMin,$AF$12:$AF$54,1,$AG$12:$AG$54,"&lt;="&amp;$AG36))</f>
        <v/>
      </c>
      <c r="AI36" s="2" t="n">
        <f aca="false">IF(AND($AF36=1,$AH36&lt;=$B$7),1,0)</f>
        <v>0</v>
      </c>
      <c r="AJ36" s="2" t="n">
        <f aca="false">INDEX(MoTypeN,25)*1000+25</f>
        <v>4025</v>
      </c>
      <c r="AK36" s="2" t="str">
        <f aca="false">IF($AI36=0,"",COUNTIFS($AI$12:$AI$54,1,$AJ$12:$AJ$54,"&lt;"&amp;$AJ36)+1)</f>
        <v/>
      </c>
    </row>
    <row r="37" customFormat="false" ht="30" hidden="false" customHeight="true" outlineLevel="0" collapsed="false">
      <c r="A37" s="19" t="n">
        <v>8</v>
      </c>
      <c r="B37" s="41"/>
      <c r="C37" s="42" t="str">
        <f aca="false">IF($B37="","",IFERROR(INDEX(ExEquip,MATCH($B37,ExName,0)),"?"))</f>
        <v/>
      </c>
      <c r="D37" s="42" t="str">
        <f aca="false">IF($B37="","",IFERROR(INDEX(ExPattern,MATCH($B37,ExName,0)),"?"))</f>
        <v/>
      </c>
      <c r="E37" s="42" t="str">
        <f aca="false">IF($B37="","",IFERROR(INDEX(ExPrimary,MATCH($B37,ExName,0)),"?"))</f>
        <v/>
      </c>
      <c r="F37" s="43" t="str">
        <f aca="false">IF($B37="","",IFERROR(INDEX(ExSecondary,MATCH($B37,ExName,0)),""))</f>
        <v/>
      </c>
      <c r="G37" s="42" t="str">
        <f aca="false">IF($B37="","",IFERROR(INDEX(ExProfile,MATCH($B37,ExName,0)),"?"))</f>
        <v/>
      </c>
      <c r="H37" s="35" t="str">
        <f aca="false">IF($G37="","",IFERROR(INDEX(PrSets,MATCH($G37&amp;"|"&amp;$B$5,PrKey,0)),"?"))</f>
        <v/>
      </c>
      <c r="I37" s="35" t="str">
        <f aca="false">IF($G37="","",IFERROR(INDEX(PrReps,MATCH($G37&amp;"|"&amp;$B$5,PrKey,0)),"?"))</f>
        <v/>
      </c>
      <c r="J37" s="35" t="str">
        <f aca="false">IF($G37="","",IFERROR(INDEX(PrLoad,MATCH($G37&amp;"|"&amp;$B$5,PrKey,0)),"?"))</f>
        <v/>
      </c>
      <c r="K37" s="35" t="str">
        <f aca="false">IF($B37="","",IF(N($S37)=0,"Bodyweight / RPE",IF(N($R37)=0,"Enter 1RM in library",TEXT(MROUND($R37*$S37,2.5),"0.0")&amp;"–"&amp;TEXT(MROUND($R37*$T37,2.5),"0.0")&amp;" kg")))</f>
        <v/>
      </c>
      <c r="L37" s="35" t="str">
        <f aca="false">IF($G37="","",IFERROR(INDEX(PrRest,MATCH($G37&amp;"|"&amp;$B$5,PrKey,0)),"?"))</f>
        <v/>
      </c>
      <c r="M37" s="43" t="str">
        <f aca="false">IF($G37="","",IFERROR(INDEX(PrNote,MATCH($G37&amp;"|"&amp;$B$5,PrKey,0)),""))</f>
        <v/>
      </c>
      <c r="N37" s="44"/>
      <c r="O37" s="45"/>
      <c r="P37" s="35" t="str">
        <f aca="false">IF(OR($B37="",$U37=""),"",IF($U37=0,0,ROUND(($U37*($V37+$W37)+TimeSetup)/60,0)))</f>
        <v/>
      </c>
      <c r="Q37" s="2"/>
      <c r="R37" s="2" t="str">
        <f aca="false">IF($B37="","",IFERROR(INDEX(Ex1RM,MATCH($B37,ExName,0)),""))</f>
        <v/>
      </c>
      <c r="S37" s="2" t="str">
        <f aca="false">IF($G37="","",IFERROR(INDEX(PrMin,MATCH($G37&amp;"|"&amp;$B$5,PrKey,0)),""))</f>
        <v/>
      </c>
      <c r="T37" s="2" t="str">
        <f aca="false">IF($G37="","",IFERROR(INDEX(PrMax,MATCH($G37&amp;"|"&amp;$B$5,PrKey,0)),""))</f>
        <v/>
      </c>
      <c r="U37" s="2" t="str">
        <f aca="false">IF($G37="","",IFERROR(INDEX(PrSetsN,MATCH($G37&amp;"|"&amp;$B$5,PrKey,0)),""))</f>
        <v/>
      </c>
      <c r="V37" s="2" t="str">
        <f aca="false">IF($G37="","",IFERROR(INDEX(PrWorkS,MATCH($G37&amp;"|"&amp;$B$5,PrKey,0)),""))</f>
        <v/>
      </c>
      <c r="W37" s="2" t="str">
        <f aca="false">IF($G37="","",IFERROR(INDEX(PrRestS,MATCH($G37&amp;"|"&amp;$B$5,PrKey,0)),""))</f>
        <v/>
      </c>
      <c r="X37" s="2"/>
      <c r="Y37" s="2" t="n">
        <f aca="false">IF(OR(INDEX(WuTrigger,26)="Always",COUNTIF($D$30:$D$51,INDEX(WuTrigger,26))&gt;0,COUNTIF($E$30:$E$51,INDEX(WuTrigger,26))&gt;0),1,0)</f>
        <v>0</v>
      </c>
      <c r="Z37" s="2" t="n">
        <f aca="false">INDEX(WuPriority,26)*1000+26</f>
        <v>3026</v>
      </c>
      <c r="AA37" s="2" t="str">
        <f aca="false">IF($Y37=0,"",SUMIFS(WuMin,$Y$12:$Y$60,1,$Z$12:$Z$60,"&lt;="&amp;$Z37))</f>
        <v/>
      </c>
      <c r="AB37" s="2" t="n">
        <f aca="false">IF(AND($Y37=1,$AA37&lt;=$B$6),1,0)</f>
        <v>0</v>
      </c>
      <c r="AC37" s="2" t="n">
        <f aca="false">INDEX(WuPhaseN,26)*1000+26</f>
        <v>3026</v>
      </c>
      <c r="AD37" s="2" t="str">
        <f aca="false">IF($AB37=0,"",COUNTIFS($AB$12:$AB$60,1,$AC$12:$AC$60,"&lt;"&amp;$AC37)+1)</f>
        <v/>
      </c>
      <c r="AE37" s="2"/>
      <c r="AF37" s="2" t="n">
        <f aca="false">IF(OR(INDEX(MoTarget,26)="Always",COUNTIF($E$30:$E$51,INDEX(MoTarget,26))&gt;0,COUNTIF($F$30:$F$51,"*"&amp;INDEX(MoTarget,26)&amp;"*")&gt;0),1,0)</f>
        <v>0</v>
      </c>
      <c r="AG37" s="2" t="n">
        <f aca="false">INDEX(MoPriority,26)*1000+26</f>
        <v>3026</v>
      </c>
      <c r="AH37" s="2" t="str">
        <f aca="false">IF($AF37=0,"",SUMIFS(MoMin,$AF$12:$AF$54,1,$AG$12:$AG$54,"&lt;="&amp;$AG37))</f>
        <v/>
      </c>
      <c r="AI37" s="2" t="n">
        <f aca="false">IF(AND($AF37=1,$AH37&lt;=$B$7),1,0)</f>
        <v>0</v>
      </c>
      <c r="AJ37" s="2" t="n">
        <f aca="false">INDEX(MoTypeN,26)*1000+26</f>
        <v>4026</v>
      </c>
      <c r="AK37" s="2" t="str">
        <f aca="false">IF($AI37=0,"",COUNTIFS($AI$12:$AI$54,1,$AJ$12:$AJ$54,"&lt;"&amp;$AJ37)+1)</f>
        <v/>
      </c>
    </row>
    <row r="38" customFormat="false" ht="30" hidden="false" customHeight="true" outlineLevel="0" collapsed="false">
      <c r="A38" s="19" t="n">
        <v>9</v>
      </c>
      <c r="B38" s="41"/>
      <c r="C38" s="42" t="str">
        <f aca="false">IF($B38="","",IFERROR(INDEX(ExEquip,MATCH($B38,ExName,0)),"?"))</f>
        <v/>
      </c>
      <c r="D38" s="42" t="str">
        <f aca="false">IF($B38="","",IFERROR(INDEX(ExPattern,MATCH($B38,ExName,0)),"?"))</f>
        <v/>
      </c>
      <c r="E38" s="42" t="str">
        <f aca="false">IF($B38="","",IFERROR(INDEX(ExPrimary,MATCH($B38,ExName,0)),"?"))</f>
        <v/>
      </c>
      <c r="F38" s="43" t="str">
        <f aca="false">IF($B38="","",IFERROR(INDEX(ExSecondary,MATCH($B38,ExName,0)),""))</f>
        <v/>
      </c>
      <c r="G38" s="42" t="str">
        <f aca="false">IF($B38="","",IFERROR(INDEX(ExProfile,MATCH($B38,ExName,0)),"?"))</f>
        <v/>
      </c>
      <c r="H38" s="35" t="str">
        <f aca="false">IF($G38="","",IFERROR(INDEX(PrSets,MATCH($G38&amp;"|"&amp;$B$5,PrKey,0)),"?"))</f>
        <v/>
      </c>
      <c r="I38" s="35" t="str">
        <f aca="false">IF($G38="","",IFERROR(INDEX(PrReps,MATCH($G38&amp;"|"&amp;$B$5,PrKey,0)),"?"))</f>
        <v/>
      </c>
      <c r="J38" s="35" t="str">
        <f aca="false">IF($G38="","",IFERROR(INDEX(PrLoad,MATCH($G38&amp;"|"&amp;$B$5,PrKey,0)),"?"))</f>
        <v/>
      </c>
      <c r="K38" s="35" t="str">
        <f aca="false">IF($B38="","",IF(N($S38)=0,"Bodyweight / RPE",IF(N($R38)=0,"Enter 1RM in library",TEXT(MROUND($R38*$S38,2.5),"0.0")&amp;"–"&amp;TEXT(MROUND($R38*$T38,2.5),"0.0")&amp;" kg")))</f>
        <v/>
      </c>
      <c r="L38" s="35" t="str">
        <f aca="false">IF($G38="","",IFERROR(INDEX(PrRest,MATCH($G38&amp;"|"&amp;$B$5,PrKey,0)),"?"))</f>
        <v/>
      </c>
      <c r="M38" s="43" t="str">
        <f aca="false">IF($G38="","",IFERROR(INDEX(PrNote,MATCH($G38&amp;"|"&amp;$B$5,PrKey,0)),""))</f>
        <v/>
      </c>
      <c r="N38" s="44"/>
      <c r="O38" s="45"/>
      <c r="P38" s="35" t="str">
        <f aca="false">IF(OR($B38="",$U38=""),"",IF($U38=0,0,ROUND(($U38*($V38+$W38)+TimeSetup)/60,0)))</f>
        <v/>
      </c>
      <c r="Q38" s="2"/>
      <c r="R38" s="2" t="str">
        <f aca="false">IF($B38="","",IFERROR(INDEX(Ex1RM,MATCH($B38,ExName,0)),""))</f>
        <v/>
      </c>
      <c r="S38" s="2" t="str">
        <f aca="false">IF($G38="","",IFERROR(INDEX(PrMin,MATCH($G38&amp;"|"&amp;$B$5,PrKey,0)),""))</f>
        <v/>
      </c>
      <c r="T38" s="2" t="str">
        <f aca="false">IF($G38="","",IFERROR(INDEX(PrMax,MATCH($G38&amp;"|"&amp;$B$5,PrKey,0)),""))</f>
        <v/>
      </c>
      <c r="U38" s="2" t="str">
        <f aca="false">IF($G38="","",IFERROR(INDEX(PrSetsN,MATCH($G38&amp;"|"&amp;$B$5,PrKey,0)),""))</f>
        <v/>
      </c>
      <c r="V38" s="2" t="str">
        <f aca="false">IF($G38="","",IFERROR(INDEX(PrWorkS,MATCH($G38&amp;"|"&amp;$B$5,PrKey,0)),""))</f>
        <v/>
      </c>
      <c r="W38" s="2" t="str">
        <f aca="false">IF($G38="","",IFERROR(INDEX(PrRestS,MATCH($G38&amp;"|"&amp;$B$5,PrKey,0)),""))</f>
        <v/>
      </c>
      <c r="X38" s="2"/>
      <c r="Y38" s="2" t="n">
        <f aca="false">IF(OR(INDEX(WuTrigger,27)="Always",COUNTIF($D$30:$D$51,INDEX(WuTrigger,27))&gt;0,COUNTIF($E$30:$E$51,INDEX(WuTrigger,27))&gt;0),1,0)</f>
        <v>0</v>
      </c>
      <c r="Z38" s="2" t="n">
        <f aca="false">INDEX(WuPriority,27)*1000+27</f>
        <v>6027</v>
      </c>
      <c r="AA38" s="2" t="str">
        <f aca="false">IF($Y38=0,"",SUMIFS(WuMin,$Y$12:$Y$60,1,$Z$12:$Z$60,"&lt;="&amp;$Z38))</f>
        <v/>
      </c>
      <c r="AB38" s="2" t="n">
        <f aca="false">IF(AND($Y38=1,$AA38&lt;=$B$6),1,0)</f>
        <v>0</v>
      </c>
      <c r="AC38" s="2" t="n">
        <f aca="false">INDEX(WuPhaseN,27)*1000+27</f>
        <v>2027</v>
      </c>
      <c r="AD38" s="2" t="str">
        <f aca="false">IF($AB38=0,"",COUNTIFS($AB$12:$AB$60,1,$AC$12:$AC$60,"&lt;"&amp;$AC38)+1)</f>
        <v/>
      </c>
      <c r="AE38" s="2"/>
      <c r="AF38" s="2" t="n">
        <f aca="false">IF(OR(INDEX(MoTarget,27)="Always",COUNTIF($E$30:$E$51,INDEX(MoTarget,27))&gt;0,COUNTIF($F$30:$F$51,"*"&amp;INDEX(MoTarget,27)&amp;"*")&gt;0),1,0)</f>
        <v>0</v>
      </c>
      <c r="AG38" s="2" t="n">
        <f aca="false">INDEX(MoPriority,27)*1000+27</f>
        <v>4027</v>
      </c>
      <c r="AH38" s="2" t="str">
        <f aca="false">IF($AF38=0,"",SUMIFS(MoMin,$AF$12:$AF$54,1,$AG$12:$AG$54,"&lt;="&amp;$AG38))</f>
        <v/>
      </c>
      <c r="AI38" s="2" t="n">
        <f aca="false">IF(AND($AF38=1,$AH38&lt;=$B$7),1,0)</f>
        <v>0</v>
      </c>
      <c r="AJ38" s="2" t="n">
        <f aca="false">INDEX(MoTypeN,27)*1000+27</f>
        <v>4027</v>
      </c>
      <c r="AK38" s="2" t="str">
        <f aca="false">IF($AI38=0,"",COUNTIFS($AI$12:$AI$54,1,$AJ$12:$AJ$54,"&lt;"&amp;$AJ38)+1)</f>
        <v/>
      </c>
    </row>
    <row r="39" customFormat="false" ht="30" hidden="false" customHeight="true" outlineLevel="0" collapsed="false">
      <c r="A39" s="19" t="n">
        <v>10</v>
      </c>
      <c r="B39" s="41"/>
      <c r="C39" s="42" t="str">
        <f aca="false">IF($B39="","",IFERROR(INDEX(ExEquip,MATCH($B39,ExName,0)),"?"))</f>
        <v/>
      </c>
      <c r="D39" s="42" t="str">
        <f aca="false">IF($B39="","",IFERROR(INDEX(ExPattern,MATCH($B39,ExName,0)),"?"))</f>
        <v/>
      </c>
      <c r="E39" s="42" t="str">
        <f aca="false">IF($B39="","",IFERROR(INDEX(ExPrimary,MATCH($B39,ExName,0)),"?"))</f>
        <v/>
      </c>
      <c r="F39" s="43" t="str">
        <f aca="false">IF($B39="","",IFERROR(INDEX(ExSecondary,MATCH($B39,ExName,0)),""))</f>
        <v/>
      </c>
      <c r="G39" s="42" t="str">
        <f aca="false">IF($B39="","",IFERROR(INDEX(ExProfile,MATCH($B39,ExName,0)),"?"))</f>
        <v/>
      </c>
      <c r="H39" s="35" t="str">
        <f aca="false">IF($G39="","",IFERROR(INDEX(PrSets,MATCH($G39&amp;"|"&amp;$B$5,PrKey,0)),"?"))</f>
        <v/>
      </c>
      <c r="I39" s="35" t="str">
        <f aca="false">IF($G39="","",IFERROR(INDEX(PrReps,MATCH($G39&amp;"|"&amp;$B$5,PrKey,0)),"?"))</f>
        <v/>
      </c>
      <c r="J39" s="35" t="str">
        <f aca="false">IF($G39="","",IFERROR(INDEX(PrLoad,MATCH($G39&amp;"|"&amp;$B$5,PrKey,0)),"?"))</f>
        <v/>
      </c>
      <c r="K39" s="35" t="str">
        <f aca="false">IF($B39="","",IF(N($S39)=0,"Bodyweight / RPE",IF(N($R39)=0,"Enter 1RM in library",TEXT(MROUND($R39*$S39,2.5),"0.0")&amp;"–"&amp;TEXT(MROUND($R39*$T39,2.5),"0.0")&amp;" kg")))</f>
        <v/>
      </c>
      <c r="L39" s="35" t="str">
        <f aca="false">IF($G39="","",IFERROR(INDEX(PrRest,MATCH($G39&amp;"|"&amp;$B$5,PrKey,0)),"?"))</f>
        <v/>
      </c>
      <c r="M39" s="43" t="str">
        <f aca="false">IF($G39="","",IFERROR(INDEX(PrNote,MATCH($G39&amp;"|"&amp;$B$5,PrKey,0)),""))</f>
        <v/>
      </c>
      <c r="N39" s="44"/>
      <c r="O39" s="45"/>
      <c r="P39" s="35" t="str">
        <f aca="false">IF(OR($B39="",$U39=""),"",IF($U39=0,0,ROUND(($U39*($V39+$W39)+TimeSetup)/60,0)))</f>
        <v/>
      </c>
      <c r="Q39" s="2"/>
      <c r="R39" s="2" t="str">
        <f aca="false">IF($B39="","",IFERROR(INDEX(Ex1RM,MATCH($B39,ExName,0)),""))</f>
        <v/>
      </c>
      <c r="S39" s="2" t="str">
        <f aca="false">IF($G39="","",IFERROR(INDEX(PrMin,MATCH($G39&amp;"|"&amp;$B$5,PrKey,0)),""))</f>
        <v/>
      </c>
      <c r="T39" s="2" t="str">
        <f aca="false">IF($G39="","",IFERROR(INDEX(PrMax,MATCH($G39&amp;"|"&amp;$B$5,PrKey,0)),""))</f>
        <v/>
      </c>
      <c r="U39" s="2" t="str">
        <f aca="false">IF($G39="","",IFERROR(INDEX(PrSetsN,MATCH($G39&amp;"|"&amp;$B$5,PrKey,0)),""))</f>
        <v/>
      </c>
      <c r="V39" s="2" t="str">
        <f aca="false">IF($G39="","",IFERROR(INDEX(PrWorkS,MATCH($G39&amp;"|"&amp;$B$5,PrKey,0)),""))</f>
        <v/>
      </c>
      <c r="W39" s="2" t="str">
        <f aca="false">IF($G39="","",IFERROR(INDEX(PrRestS,MATCH($G39&amp;"|"&amp;$B$5,PrKey,0)),""))</f>
        <v/>
      </c>
      <c r="X39" s="2"/>
      <c r="Y39" s="2" t="n">
        <f aca="false">IF(OR(INDEX(WuTrigger,28)="Always",COUNTIF($D$30:$D$51,INDEX(WuTrigger,28))&gt;0,COUNTIF($E$30:$E$51,INDEX(WuTrigger,28))&gt;0),1,0)</f>
        <v>0</v>
      </c>
      <c r="Z39" s="2" t="n">
        <f aca="false">INDEX(WuPriority,28)*1000+28</f>
        <v>2028</v>
      </c>
      <c r="AA39" s="2" t="str">
        <f aca="false">IF($Y39=0,"",SUMIFS(WuMin,$Y$12:$Y$60,1,$Z$12:$Z$60,"&lt;="&amp;$Z39))</f>
        <v/>
      </c>
      <c r="AB39" s="2" t="n">
        <f aca="false">IF(AND($Y39=1,$AA39&lt;=$B$6),1,0)</f>
        <v>0</v>
      </c>
      <c r="AC39" s="2" t="n">
        <f aca="false">INDEX(WuPhaseN,28)*1000+28</f>
        <v>4028</v>
      </c>
      <c r="AD39" s="2" t="str">
        <f aca="false">IF($AB39=0,"",COUNTIFS($AB$12:$AB$60,1,$AC$12:$AC$60,"&lt;"&amp;$AC39)+1)</f>
        <v/>
      </c>
      <c r="AE39" s="2"/>
      <c r="AF39" s="2" t="n">
        <f aca="false">IF(OR(INDEX(MoTarget,28)="Always",COUNTIF($E$30:$E$51,INDEX(MoTarget,28))&gt;0,COUNTIF($F$30:$F$51,"*"&amp;INDEX(MoTarget,28)&amp;"*")&gt;0),1,0)</f>
        <v>0</v>
      </c>
      <c r="AG39" s="2" t="n">
        <f aca="false">INDEX(MoPriority,28)*1000+28</f>
        <v>4028</v>
      </c>
      <c r="AH39" s="2" t="str">
        <f aca="false">IF($AF39=0,"",SUMIFS(MoMin,$AF$12:$AF$54,1,$AG$12:$AG$54,"&lt;="&amp;$AG39))</f>
        <v/>
      </c>
      <c r="AI39" s="2" t="n">
        <f aca="false">IF(AND($AF39=1,$AH39&lt;=$B$7),1,0)</f>
        <v>0</v>
      </c>
      <c r="AJ39" s="2" t="n">
        <f aca="false">INDEX(MoTypeN,28)*1000+28</f>
        <v>4028</v>
      </c>
      <c r="AK39" s="2" t="str">
        <f aca="false">IF($AI39=0,"",COUNTIFS($AI$12:$AI$54,1,$AJ$12:$AJ$54,"&lt;"&amp;$AJ39)+1)</f>
        <v/>
      </c>
    </row>
    <row r="40" customFormat="false" ht="30" hidden="false" customHeight="true" outlineLevel="0" collapsed="false">
      <c r="A40" s="19" t="n">
        <v>11</v>
      </c>
      <c r="B40" s="41"/>
      <c r="C40" s="42" t="str">
        <f aca="false">IF($B40="","",IFERROR(INDEX(ExEquip,MATCH($B40,ExName,0)),"?"))</f>
        <v/>
      </c>
      <c r="D40" s="42" t="str">
        <f aca="false">IF($B40="","",IFERROR(INDEX(ExPattern,MATCH($B40,ExName,0)),"?"))</f>
        <v/>
      </c>
      <c r="E40" s="42" t="str">
        <f aca="false">IF($B40="","",IFERROR(INDEX(ExPrimary,MATCH($B40,ExName,0)),"?"))</f>
        <v/>
      </c>
      <c r="F40" s="43" t="str">
        <f aca="false">IF($B40="","",IFERROR(INDEX(ExSecondary,MATCH($B40,ExName,0)),""))</f>
        <v/>
      </c>
      <c r="G40" s="42" t="str">
        <f aca="false">IF($B40="","",IFERROR(INDEX(ExProfile,MATCH($B40,ExName,0)),"?"))</f>
        <v/>
      </c>
      <c r="H40" s="35" t="str">
        <f aca="false">IF($G40="","",IFERROR(INDEX(PrSets,MATCH($G40&amp;"|"&amp;$B$5,PrKey,0)),"?"))</f>
        <v/>
      </c>
      <c r="I40" s="35" t="str">
        <f aca="false">IF($G40="","",IFERROR(INDEX(PrReps,MATCH($G40&amp;"|"&amp;$B$5,PrKey,0)),"?"))</f>
        <v/>
      </c>
      <c r="J40" s="35" t="str">
        <f aca="false">IF($G40="","",IFERROR(INDEX(PrLoad,MATCH($G40&amp;"|"&amp;$B$5,PrKey,0)),"?"))</f>
        <v/>
      </c>
      <c r="K40" s="35" t="str">
        <f aca="false">IF($B40="","",IF(N($S40)=0,"Bodyweight / RPE",IF(N($R40)=0,"Enter 1RM in library",TEXT(MROUND($R40*$S40,2.5),"0.0")&amp;"–"&amp;TEXT(MROUND($R40*$T40,2.5),"0.0")&amp;" kg")))</f>
        <v/>
      </c>
      <c r="L40" s="35" t="str">
        <f aca="false">IF($G40="","",IFERROR(INDEX(PrRest,MATCH($G40&amp;"|"&amp;$B$5,PrKey,0)),"?"))</f>
        <v/>
      </c>
      <c r="M40" s="43" t="str">
        <f aca="false">IF($G40="","",IFERROR(INDEX(PrNote,MATCH($G40&amp;"|"&amp;$B$5,PrKey,0)),""))</f>
        <v/>
      </c>
      <c r="N40" s="44"/>
      <c r="O40" s="45"/>
      <c r="P40" s="35" t="str">
        <f aca="false">IF(OR($B40="",$U40=""),"",IF($U40=0,0,ROUND(($U40*($V40+$W40)+TimeSetup)/60,0)))</f>
        <v/>
      </c>
      <c r="Q40" s="2"/>
      <c r="R40" s="2" t="str">
        <f aca="false">IF($B40="","",IFERROR(INDEX(Ex1RM,MATCH($B40,ExName,0)),""))</f>
        <v/>
      </c>
      <c r="S40" s="2" t="str">
        <f aca="false">IF($G40="","",IFERROR(INDEX(PrMin,MATCH($G40&amp;"|"&amp;$B$5,PrKey,0)),""))</f>
        <v/>
      </c>
      <c r="T40" s="2" t="str">
        <f aca="false">IF($G40="","",IFERROR(INDEX(PrMax,MATCH($G40&amp;"|"&amp;$B$5,PrKey,0)),""))</f>
        <v/>
      </c>
      <c r="U40" s="2" t="str">
        <f aca="false">IF($G40="","",IFERROR(INDEX(PrSetsN,MATCH($G40&amp;"|"&amp;$B$5,PrKey,0)),""))</f>
        <v/>
      </c>
      <c r="V40" s="2" t="str">
        <f aca="false">IF($G40="","",IFERROR(INDEX(PrWorkS,MATCH($G40&amp;"|"&amp;$B$5,PrKey,0)),""))</f>
        <v/>
      </c>
      <c r="W40" s="2" t="str">
        <f aca="false">IF($G40="","",IFERROR(INDEX(PrRestS,MATCH($G40&amp;"|"&amp;$B$5,PrKey,0)),""))</f>
        <v/>
      </c>
      <c r="X40" s="2"/>
      <c r="Y40" s="2" t="n">
        <f aca="false">IF(OR(INDEX(WuTrigger,29)="Always",COUNTIF($D$30:$D$51,INDEX(WuTrigger,29))&gt;0,COUNTIF($E$30:$E$51,INDEX(WuTrigger,29))&gt;0),1,0)</f>
        <v>0</v>
      </c>
      <c r="Z40" s="2" t="n">
        <f aca="false">INDEX(WuPriority,29)*1000+29</f>
        <v>4029</v>
      </c>
      <c r="AA40" s="2" t="str">
        <f aca="false">IF($Y40=0,"",SUMIFS(WuMin,$Y$12:$Y$60,1,$Z$12:$Z$60,"&lt;="&amp;$Z40))</f>
        <v/>
      </c>
      <c r="AB40" s="2" t="n">
        <f aca="false">IF(AND($Y40=1,$AA40&lt;=$B$6),1,0)</f>
        <v>0</v>
      </c>
      <c r="AC40" s="2" t="n">
        <f aca="false">INDEX(WuPhaseN,29)*1000+29</f>
        <v>2029</v>
      </c>
      <c r="AD40" s="2" t="str">
        <f aca="false">IF($AB40=0,"",COUNTIFS($AB$12:$AB$60,1,$AC$12:$AC$60,"&lt;"&amp;$AC40)+1)</f>
        <v/>
      </c>
      <c r="AE40" s="2"/>
      <c r="AF40" s="2" t="n">
        <f aca="false">IF(OR(INDEX(MoTarget,29)="Always",COUNTIF($E$30:$E$51,INDEX(MoTarget,29))&gt;0,COUNTIF($F$30:$F$51,"*"&amp;INDEX(MoTarget,29)&amp;"*")&gt;0),1,0)</f>
        <v>0</v>
      </c>
      <c r="AG40" s="2" t="n">
        <f aca="false">INDEX(MoPriority,29)*1000+29</f>
        <v>5029</v>
      </c>
      <c r="AH40" s="2" t="str">
        <f aca="false">IF($AF40=0,"",SUMIFS(MoMin,$AF$12:$AF$54,1,$AG$12:$AG$54,"&lt;="&amp;$AG40))</f>
        <v/>
      </c>
      <c r="AI40" s="2" t="n">
        <f aca="false">IF(AND($AF40=1,$AH40&lt;=$B$7),1,0)</f>
        <v>0</v>
      </c>
      <c r="AJ40" s="2" t="n">
        <f aca="false">INDEX(MoTypeN,29)*1000+29</f>
        <v>4029</v>
      </c>
      <c r="AK40" s="2" t="str">
        <f aca="false">IF($AI40=0,"",COUNTIFS($AI$12:$AI$54,1,$AJ$12:$AJ$54,"&lt;"&amp;$AJ40)+1)</f>
        <v/>
      </c>
    </row>
    <row r="41" customFormat="false" ht="30" hidden="false" customHeight="true" outlineLevel="0" collapsed="false">
      <c r="A41" s="19" t="n">
        <v>12</v>
      </c>
      <c r="B41" s="41"/>
      <c r="C41" s="42" t="str">
        <f aca="false">IF($B41="","",IFERROR(INDEX(ExEquip,MATCH($B41,ExName,0)),"?"))</f>
        <v/>
      </c>
      <c r="D41" s="42" t="str">
        <f aca="false">IF($B41="","",IFERROR(INDEX(ExPattern,MATCH($B41,ExName,0)),"?"))</f>
        <v/>
      </c>
      <c r="E41" s="42" t="str">
        <f aca="false">IF($B41="","",IFERROR(INDEX(ExPrimary,MATCH($B41,ExName,0)),"?"))</f>
        <v/>
      </c>
      <c r="F41" s="43" t="str">
        <f aca="false">IF($B41="","",IFERROR(INDEX(ExSecondary,MATCH($B41,ExName,0)),""))</f>
        <v/>
      </c>
      <c r="G41" s="42" t="str">
        <f aca="false">IF($B41="","",IFERROR(INDEX(ExProfile,MATCH($B41,ExName,0)),"?"))</f>
        <v/>
      </c>
      <c r="H41" s="35" t="str">
        <f aca="false">IF($G41="","",IFERROR(INDEX(PrSets,MATCH($G41&amp;"|"&amp;$B$5,PrKey,0)),"?"))</f>
        <v/>
      </c>
      <c r="I41" s="35" t="str">
        <f aca="false">IF($G41="","",IFERROR(INDEX(PrReps,MATCH($G41&amp;"|"&amp;$B$5,PrKey,0)),"?"))</f>
        <v/>
      </c>
      <c r="J41" s="35" t="str">
        <f aca="false">IF($G41="","",IFERROR(INDEX(PrLoad,MATCH($G41&amp;"|"&amp;$B$5,PrKey,0)),"?"))</f>
        <v/>
      </c>
      <c r="K41" s="35" t="str">
        <f aca="false">IF($B41="","",IF(N($S41)=0,"Bodyweight / RPE",IF(N($R41)=0,"Enter 1RM in library",TEXT(MROUND($R41*$S41,2.5),"0.0")&amp;"–"&amp;TEXT(MROUND($R41*$T41,2.5),"0.0")&amp;" kg")))</f>
        <v/>
      </c>
      <c r="L41" s="35" t="str">
        <f aca="false">IF($G41="","",IFERROR(INDEX(PrRest,MATCH($G41&amp;"|"&amp;$B$5,PrKey,0)),"?"))</f>
        <v/>
      </c>
      <c r="M41" s="43" t="str">
        <f aca="false">IF($G41="","",IFERROR(INDEX(PrNote,MATCH($G41&amp;"|"&amp;$B$5,PrKey,0)),""))</f>
        <v/>
      </c>
      <c r="N41" s="44"/>
      <c r="O41" s="45"/>
      <c r="P41" s="35" t="str">
        <f aca="false">IF(OR($B41="",$U41=""),"",IF($U41=0,0,ROUND(($U41*($V41+$W41)+TimeSetup)/60,0)))</f>
        <v/>
      </c>
      <c r="Q41" s="2"/>
      <c r="R41" s="2" t="str">
        <f aca="false">IF($B41="","",IFERROR(INDEX(Ex1RM,MATCH($B41,ExName,0)),""))</f>
        <v/>
      </c>
      <c r="S41" s="2" t="str">
        <f aca="false">IF($G41="","",IFERROR(INDEX(PrMin,MATCH($G41&amp;"|"&amp;$B$5,PrKey,0)),""))</f>
        <v/>
      </c>
      <c r="T41" s="2" t="str">
        <f aca="false">IF($G41="","",IFERROR(INDEX(PrMax,MATCH($G41&amp;"|"&amp;$B$5,PrKey,0)),""))</f>
        <v/>
      </c>
      <c r="U41" s="2" t="str">
        <f aca="false">IF($G41="","",IFERROR(INDEX(PrSetsN,MATCH($G41&amp;"|"&amp;$B$5,PrKey,0)),""))</f>
        <v/>
      </c>
      <c r="V41" s="2" t="str">
        <f aca="false">IF($G41="","",IFERROR(INDEX(PrWorkS,MATCH($G41&amp;"|"&amp;$B$5,PrKey,0)),""))</f>
        <v/>
      </c>
      <c r="W41" s="2" t="str">
        <f aca="false">IF($G41="","",IFERROR(INDEX(PrRestS,MATCH($G41&amp;"|"&amp;$B$5,PrKey,0)),""))</f>
        <v/>
      </c>
      <c r="X41" s="2"/>
      <c r="Y41" s="2" t="n">
        <f aca="false">IF(OR(INDEX(WuTrigger,30)="Always",COUNTIF($D$30:$D$51,INDEX(WuTrigger,30))&gt;0,COUNTIF($E$30:$E$51,INDEX(WuTrigger,30))&gt;0),1,0)</f>
        <v>0</v>
      </c>
      <c r="Z41" s="2" t="n">
        <f aca="false">INDEX(WuPriority,30)*1000+30</f>
        <v>5030</v>
      </c>
      <c r="AA41" s="2" t="str">
        <f aca="false">IF($Y41=0,"",SUMIFS(WuMin,$Y$12:$Y$60,1,$Z$12:$Z$60,"&lt;="&amp;$Z41))</f>
        <v/>
      </c>
      <c r="AB41" s="2" t="n">
        <f aca="false">IF(AND($Y41=1,$AA41&lt;=$B$6),1,0)</f>
        <v>0</v>
      </c>
      <c r="AC41" s="2" t="n">
        <f aca="false">INDEX(WuPhaseN,30)*1000+30</f>
        <v>2030</v>
      </c>
      <c r="AD41" s="2" t="str">
        <f aca="false">IF($AB41=0,"",COUNTIFS($AB$12:$AB$60,1,$AC$12:$AC$60,"&lt;"&amp;$AC41)+1)</f>
        <v/>
      </c>
      <c r="AE41" s="2"/>
      <c r="AF41" s="2" t="n">
        <f aca="false">IF(OR(INDEX(MoTarget,30)="Always",COUNTIF($E$30:$E$51,INDEX(MoTarget,30))&gt;0,COUNTIF($F$30:$F$51,"*"&amp;INDEX(MoTarget,30)&amp;"*")&gt;0),1,0)</f>
        <v>0</v>
      </c>
      <c r="AG41" s="2" t="n">
        <f aca="false">INDEX(MoPriority,30)*1000+30</f>
        <v>2030</v>
      </c>
      <c r="AH41" s="2" t="str">
        <f aca="false">IF($AF41=0,"",SUMIFS(MoMin,$AF$12:$AF$54,1,$AG$12:$AG$54,"&lt;="&amp;$AG41))</f>
        <v/>
      </c>
      <c r="AI41" s="2" t="n">
        <f aca="false">IF(AND($AF41=1,$AH41&lt;=$B$7),1,0)</f>
        <v>0</v>
      </c>
      <c r="AJ41" s="2" t="n">
        <f aca="false">INDEX(MoTypeN,30)*1000+30</f>
        <v>3030</v>
      </c>
      <c r="AK41" s="2" t="str">
        <f aca="false">IF($AI41=0,"",COUNTIFS($AI$12:$AI$54,1,$AJ$12:$AJ$54,"&lt;"&amp;$AJ41)+1)</f>
        <v/>
      </c>
    </row>
    <row r="42" customFormat="false" ht="30" hidden="false" customHeight="true" outlineLevel="0" collapsed="false">
      <c r="A42" s="19" t="n">
        <v>13</v>
      </c>
      <c r="B42" s="41"/>
      <c r="C42" s="42" t="str">
        <f aca="false">IF($B42="","",IFERROR(INDEX(ExEquip,MATCH($B42,ExName,0)),"?"))</f>
        <v/>
      </c>
      <c r="D42" s="42" t="str">
        <f aca="false">IF($B42="","",IFERROR(INDEX(ExPattern,MATCH($B42,ExName,0)),"?"))</f>
        <v/>
      </c>
      <c r="E42" s="42" t="str">
        <f aca="false">IF($B42="","",IFERROR(INDEX(ExPrimary,MATCH($B42,ExName,0)),"?"))</f>
        <v/>
      </c>
      <c r="F42" s="43" t="str">
        <f aca="false">IF($B42="","",IFERROR(INDEX(ExSecondary,MATCH($B42,ExName,0)),""))</f>
        <v/>
      </c>
      <c r="G42" s="42" t="str">
        <f aca="false">IF($B42="","",IFERROR(INDEX(ExProfile,MATCH($B42,ExName,0)),"?"))</f>
        <v/>
      </c>
      <c r="H42" s="35" t="str">
        <f aca="false">IF($G42="","",IFERROR(INDEX(PrSets,MATCH($G42&amp;"|"&amp;$B$5,PrKey,0)),"?"))</f>
        <v/>
      </c>
      <c r="I42" s="35" t="str">
        <f aca="false">IF($G42="","",IFERROR(INDEX(PrReps,MATCH($G42&amp;"|"&amp;$B$5,PrKey,0)),"?"))</f>
        <v/>
      </c>
      <c r="J42" s="35" t="str">
        <f aca="false">IF($G42="","",IFERROR(INDEX(PrLoad,MATCH($G42&amp;"|"&amp;$B$5,PrKey,0)),"?"))</f>
        <v/>
      </c>
      <c r="K42" s="35" t="str">
        <f aca="false">IF($B42="","",IF(N($S42)=0,"Bodyweight / RPE",IF(N($R42)=0,"Enter 1RM in library",TEXT(MROUND($R42*$S42,2.5),"0.0")&amp;"–"&amp;TEXT(MROUND($R42*$T42,2.5),"0.0")&amp;" kg")))</f>
        <v/>
      </c>
      <c r="L42" s="35" t="str">
        <f aca="false">IF($G42="","",IFERROR(INDEX(PrRest,MATCH($G42&amp;"|"&amp;$B$5,PrKey,0)),"?"))</f>
        <v/>
      </c>
      <c r="M42" s="43" t="str">
        <f aca="false">IF($G42="","",IFERROR(INDEX(PrNote,MATCH($G42&amp;"|"&amp;$B$5,PrKey,0)),""))</f>
        <v/>
      </c>
      <c r="N42" s="44"/>
      <c r="O42" s="45"/>
      <c r="P42" s="35" t="str">
        <f aca="false">IF(OR($B42="",$U42=""),"",IF($U42=0,0,ROUND(($U42*($V42+$W42)+TimeSetup)/60,0)))</f>
        <v/>
      </c>
      <c r="Q42" s="2"/>
      <c r="R42" s="2" t="str">
        <f aca="false">IF($B42="","",IFERROR(INDEX(Ex1RM,MATCH($B42,ExName,0)),""))</f>
        <v/>
      </c>
      <c r="S42" s="2" t="str">
        <f aca="false">IF($G42="","",IFERROR(INDEX(PrMin,MATCH($G42&amp;"|"&amp;$B$5,PrKey,0)),""))</f>
        <v/>
      </c>
      <c r="T42" s="2" t="str">
        <f aca="false">IF($G42="","",IFERROR(INDEX(PrMax,MATCH($G42&amp;"|"&amp;$B$5,PrKey,0)),""))</f>
        <v/>
      </c>
      <c r="U42" s="2" t="str">
        <f aca="false">IF($G42="","",IFERROR(INDEX(PrSetsN,MATCH($G42&amp;"|"&amp;$B$5,PrKey,0)),""))</f>
        <v/>
      </c>
      <c r="V42" s="2" t="str">
        <f aca="false">IF($G42="","",IFERROR(INDEX(PrWorkS,MATCH($G42&amp;"|"&amp;$B$5,PrKey,0)),""))</f>
        <v/>
      </c>
      <c r="W42" s="2" t="str">
        <f aca="false">IF($G42="","",IFERROR(INDEX(PrRestS,MATCH($G42&amp;"|"&amp;$B$5,PrKey,0)),""))</f>
        <v/>
      </c>
      <c r="X42" s="2"/>
      <c r="Y42" s="2" t="n">
        <f aca="false">IF(OR(INDEX(WuTrigger,31)="Always",COUNTIF($D$30:$D$51,INDEX(WuTrigger,31))&gt;0,COUNTIF($E$30:$E$51,INDEX(WuTrigger,31))&gt;0),1,0)</f>
        <v>0</v>
      </c>
      <c r="Z42" s="2" t="n">
        <f aca="false">INDEX(WuPriority,31)*1000+31</f>
        <v>3031</v>
      </c>
      <c r="AA42" s="2" t="str">
        <f aca="false">IF($Y42=0,"",SUMIFS(WuMin,$Y$12:$Y$60,1,$Z$12:$Z$60,"&lt;="&amp;$Z42))</f>
        <v/>
      </c>
      <c r="AB42" s="2" t="n">
        <f aca="false">IF(AND($Y42=1,$AA42&lt;=$B$6),1,0)</f>
        <v>0</v>
      </c>
      <c r="AC42" s="2" t="n">
        <f aca="false">INDEX(WuPhaseN,31)*1000+31</f>
        <v>1031</v>
      </c>
      <c r="AD42" s="2" t="str">
        <f aca="false">IF($AB42=0,"",COUNTIFS($AB$12:$AB$60,1,$AC$12:$AC$60,"&lt;"&amp;$AC42)+1)</f>
        <v/>
      </c>
      <c r="AE42" s="2"/>
      <c r="AF42" s="2" t="n">
        <f aca="false">IF(OR(INDEX(MoTarget,31)="Always",COUNTIF($E$30:$E$51,INDEX(MoTarget,31))&gt;0,COUNTIF($F$30:$F$51,"*"&amp;INDEX(MoTarget,31)&amp;"*")&gt;0),1,0)</f>
        <v>0</v>
      </c>
      <c r="AG42" s="2" t="n">
        <f aca="false">INDEX(MoPriority,31)*1000+31</f>
        <v>2031</v>
      </c>
      <c r="AH42" s="2" t="str">
        <f aca="false">IF($AF42=0,"",SUMIFS(MoMin,$AF$12:$AF$54,1,$AG$12:$AG$54,"&lt;="&amp;$AG42))</f>
        <v/>
      </c>
      <c r="AI42" s="2" t="n">
        <f aca="false">IF(AND($AF42=1,$AH42&lt;=$B$7),1,0)</f>
        <v>0</v>
      </c>
      <c r="AJ42" s="2" t="n">
        <f aca="false">INDEX(MoTypeN,31)*1000+31</f>
        <v>3031</v>
      </c>
      <c r="AK42" s="2" t="str">
        <f aca="false">IF($AI42=0,"",COUNTIFS($AI$12:$AI$54,1,$AJ$12:$AJ$54,"&lt;"&amp;$AJ42)+1)</f>
        <v/>
      </c>
    </row>
    <row r="43" customFormat="false" ht="30" hidden="false" customHeight="true" outlineLevel="0" collapsed="false">
      <c r="A43" s="19" t="n">
        <v>14</v>
      </c>
      <c r="B43" s="41"/>
      <c r="C43" s="42" t="str">
        <f aca="false">IF($B43="","",IFERROR(INDEX(ExEquip,MATCH($B43,ExName,0)),"?"))</f>
        <v/>
      </c>
      <c r="D43" s="42" t="str">
        <f aca="false">IF($B43="","",IFERROR(INDEX(ExPattern,MATCH($B43,ExName,0)),"?"))</f>
        <v/>
      </c>
      <c r="E43" s="42" t="str">
        <f aca="false">IF($B43="","",IFERROR(INDEX(ExPrimary,MATCH($B43,ExName,0)),"?"))</f>
        <v/>
      </c>
      <c r="F43" s="43" t="str">
        <f aca="false">IF($B43="","",IFERROR(INDEX(ExSecondary,MATCH($B43,ExName,0)),""))</f>
        <v/>
      </c>
      <c r="G43" s="42" t="str">
        <f aca="false">IF($B43="","",IFERROR(INDEX(ExProfile,MATCH($B43,ExName,0)),"?"))</f>
        <v/>
      </c>
      <c r="H43" s="35" t="str">
        <f aca="false">IF($G43="","",IFERROR(INDEX(PrSets,MATCH($G43&amp;"|"&amp;$B$5,PrKey,0)),"?"))</f>
        <v/>
      </c>
      <c r="I43" s="35" t="str">
        <f aca="false">IF($G43="","",IFERROR(INDEX(PrReps,MATCH($G43&amp;"|"&amp;$B$5,PrKey,0)),"?"))</f>
        <v/>
      </c>
      <c r="J43" s="35" t="str">
        <f aca="false">IF($G43="","",IFERROR(INDEX(PrLoad,MATCH($G43&amp;"|"&amp;$B$5,PrKey,0)),"?"))</f>
        <v/>
      </c>
      <c r="K43" s="35" t="str">
        <f aca="false">IF($B43="","",IF(N($S43)=0,"Bodyweight / RPE",IF(N($R43)=0,"Enter 1RM in library",TEXT(MROUND($R43*$S43,2.5),"0.0")&amp;"–"&amp;TEXT(MROUND($R43*$T43,2.5),"0.0")&amp;" kg")))</f>
        <v/>
      </c>
      <c r="L43" s="35" t="str">
        <f aca="false">IF($G43="","",IFERROR(INDEX(PrRest,MATCH($G43&amp;"|"&amp;$B$5,PrKey,0)),"?"))</f>
        <v/>
      </c>
      <c r="M43" s="43" t="str">
        <f aca="false">IF($G43="","",IFERROR(INDEX(PrNote,MATCH($G43&amp;"|"&amp;$B$5,PrKey,0)),""))</f>
        <v/>
      </c>
      <c r="N43" s="44"/>
      <c r="O43" s="45"/>
      <c r="P43" s="35" t="str">
        <f aca="false">IF(OR($B43="",$U43=""),"",IF($U43=0,0,ROUND(($U43*($V43+$W43)+TimeSetup)/60,0)))</f>
        <v/>
      </c>
      <c r="Q43" s="2"/>
      <c r="R43" s="2" t="str">
        <f aca="false">IF($B43="","",IFERROR(INDEX(Ex1RM,MATCH($B43,ExName,0)),""))</f>
        <v/>
      </c>
      <c r="S43" s="2" t="str">
        <f aca="false">IF($G43="","",IFERROR(INDEX(PrMin,MATCH($G43&amp;"|"&amp;$B$5,PrKey,0)),""))</f>
        <v/>
      </c>
      <c r="T43" s="2" t="str">
        <f aca="false">IF($G43="","",IFERROR(INDEX(PrMax,MATCH($G43&amp;"|"&amp;$B$5,PrKey,0)),""))</f>
        <v/>
      </c>
      <c r="U43" s="2" t="str">
        <f aca="false">IF($G43="","",IFERROR(INDEX(PrSetsN,MATCH($G43&amp;"|"&amp;$B$5,PrKey,0)),""))</f>
        <v/>
      </c>
      <c r="V43" s="2" t="str">
        <f aca="false">IF($G43="","",IFERROR(INDEX(PrWorkS,MATCH($G43&amp;"|"&amp;$B$5,PrKey,0)),""))</f>
        <v/>
      </c>
      <c r="W43" s="2" t="str">
        <f aca="false">IF($G43="","",IFERROR(INDEX(PrRestS,MATCH($G43&amp;"|"&amp;$B$5,PrKey,0)),""))</f>
        <v/>
      </c>
      <c r="X43" s="2"/>
      <c r="Y43" s="2" t="n">
        <f aca="false">IF(OR(INDEX(WuTrigger,32)="Always",COUNTIF($D$30:$D$51,INDEX(WuTrigger,32))&gt;0,COUNTIF($E$30:$E$51,INDEX(WuTrigger,32))&gt;0),1,0)</f>
        <v>0</v>
      </c>
      <c r="Z43" s="2" t="n">
        <f aca="false">INDEX(WuPriority,32)*1000+32</f>
        <v>3032</v>
      </c>
      <c r="AA43" s="2" t="str">
        <f aca="false">IF($Y43=0,"",SUMIFS(WuMin,$Y$12:$Y$60,1,$Z$12:$Z$60,"&lt;="&amp;$Z43))</f>
        <v/>
      </c>
      <c r="AB43" s="2" t="n">
        <f aca="false">IF(AND($Y43=1,$AA43&lt;=$B$6),1,0)</f>
        <v>0</v>
      </c>
      <c r="AC43" s="2" t="n">
        <f aca="false">INDEX(WuPhaseN,32)*1000+32</f>
        <v>3032</v>
      </c>
      <c r="AD43" s="2" t="str">
        <f aca="false">IF($AB43=0,"",COUNTIFS($AB$12:$AB$60,1,$AC$12:$AC$60,"&lt;"&amp;$AC43)+1)</f>
        <v/>
      </c>
      <c r="AE43" s="2"/>
      <c r="AF43" s="2" t="n">
        <f aca="false">IF(OR(INDEX(MoTarget,32)="Always",COUNTIF($E$30:$E$51,INDEX(MoTarget,32))&gt;0,COUNTIF($F$30:$F$51,"*"&amp;INDEX(MoTarget,32)&amp;"*")&gt;0),1,0)</f>
        <v>0</v>
      </c>
      <c r="AG43" s="2" t="n">
        <f aca="false">INDEX(MoPriority,32)*1000+32</f>
        <v>3032</v>
      </c>
      <c r="AH43" s="2" t="str">
        <f aca="false">IF($AF43=0,"",SUMIFS(MoMin,$AF$12:$AF$54,1,$AG$12:$AG$54,"&lt;="&amp;$AG43))</f>
        <v/>
      </c>
      <c r="AI43" s="2" t="n">
        <f aca="false">IF(AND($AF43=1,$AH43&lt;=$B$7),1,0)</f>
        <v>0</v>
      </c>
      <c r="AJ43" s="2" t="n">
        <f aca="false">INDEX(MoTypeN,32)*1000+32</f>
        <v>3032</v>
      </c>
      <c r="AK43" s="2" t="str">
        <f aca="false">IF($AI43=0,"",COUNTIFS($AI$12:$AI$54,1,$AJ$12:$AJ$54,"&lt;"&amp;$AJ43)+1)</f>
        <v/>
      </c>
    </row>
    <row r="44" customFormat="false" ht="30" hidden="false" customHeight="true" outlineLevel="0" collapsed="false">
      <c r="A44" s="19" t="n">
        <v>15</v>
      </c>
      <c r="B44" s="41"/>
      <c r="C44" s="42" t="str">
        <f aca="false">IF($B44="","",IFERROR(INDEX(ExEquip,MATCH($B44,ExName,0)),"?"))</f>
        <v/>
      </c>
      <c r="D44" s="42" t="str">
        <f aca="false">IF($B44="","",IFERROR(INDEX(ExPattern,MATCH($B44,ExName,0)),"?"))</f>
        <v/>
      </c>
      <c r="E44" s="42" t="str">
        <f aca="false">IF($B44="","",IFERROR(INDEX(ExPrimary,MATCH($B44,ExName,0)),"?"))</f>
        <v/>
      </c>
      <c r="F44" s="43" t="str">
        <f aca="false">IF($B44="","",IFERROR(INDEX(ExSecondary,MATCH($B44,ExName,0)),""))</f>
        <v/>
      </c>
      <c r="G44" s="42" t="str">
        <f aca="false">IF($B44="","",IFERROR(INDEX(ExProfile,MATCH($B44,ExName,0)),"?"))</f>
        <v/>
      </c>
      <c r="H44" s="35" t="str">
        <f aca="false">IF($G44="","",IFERROR(INDEX(PrSets,MATCH($G44&amp;"|"&amp;$B$5,PrKey,0)),"?"))</f>
        <v/>
      </c>
      <c r="I44" s="35" t="str">
        <f aca="false">IF($G44="","",IFERROR(INDEX(PrReps,MATCH($G44&amp;"|"&amp;$B$5,PrKey,0)),"?"))</f>
        <v/>
      </c>
      <c r="J44" s="35" t="str">
        <f aca="false">IF($G44="","",IFERROR(INDEX(PrLoad,MATCH($G44&amp;"|"&amp;$B$5,PrKey,0)),"?"))</f>
        <v/>
      </c>
      <c r="K44" s="35" t="str">
        <f aca="false">IF($B44="","",IF(N($S44)=0,"Bodyweight / RPE",IF(N($R44)=0,"Enter 1RM in library",TEXT(MROUND($R44*$S44,2.5),"0.0")&amp;"–"&amp;TEXT(MROUND($R44*$T44,2.5),"0.0")&amp;" kg")))</f>
        <v/>
      </c>
      <c r="L44" s="35" t="str">
        <f aca="false">IF($G44="","",IFERROR(INDEX(PrRest,MATCH($G44&amp;"|"&amp;$B$5,PrKey,0)),"?"))</f>
        <v/>
      </c>
      <c r="M44" s="43" t="str">
        <f aca="false">IF($G44="","",IFERROR(INDEX(PrNote,MATCH($G44&amp;"|"&amp;$B$5,PrKey,0)),""))</f>
        <v/>
      </c>
      <c r="N44" s="44"/>
      <c r="O44" s="45"/>
      <c r="P44" s="35" t="str">
        <f aca="false">IF(OR($B44="",$U44=""),"",IF($U44=0,0,ROUND(($U44*($V44+$W44)+TimeSetup)/60,0)))</f>
        <v/>
      </c>
      <c r="Q44" s="2"/>
      <c r="R44" s="2" t="str">
        <f aca="false">IF($B44="","",IFERROR(INDEX(Ex1RM,MATCH($B44,ExName,0)),""))</f>
        <v/>
      </c>
      <c r="S44" s="2" t="str">
        <f aca="false">IF($G44="","",IFERROR(INDEX(PrMin,MATCH($G44&amp;"|"&amp;$B$5,PrKey,0)),""))</f>
        <v/>
      </c>
      <c r="T44" s="2" t="str">
        <f aca="false">IF($G44="","",IFERROR(INDEX(PrMax,MATCH($G44&amp;"|"&amp;$B$5,PrKey,0)),""))</f>
        <v/>
      </c>
      <c r="U44" s="2" t="str">
        <f aca="false">IF($G44="","",IFERROR(INDEX(PrSetsN,MATCH($G44&amp;"|"&amp;$B$5,PrKey,0)),""))</f>
        <v/>
      </c>
      <c r="V44" s="2" t="str">
        <f aca="false">IF($G44="","",IFERROR(INDEX(PrWorkS,MATCH($G44&amp;"|"&amp;$B$5,PrKey,0)),""))</f>
        <v/>
      </c>
      <c r="W44" s="2" t="str">
        <f aca="false">IF($G44="","",IFERROR(INDEX(PrRestS,MATCH($G44&amp;"|"&amp;$B$5,PrKey,0)),""))</f>
        <v/>
      </c>
      <c r="X44" s="2"/>
      <c r="Y44" s="2" t="n">
        <f aca="false">IF(OR(INDEX(WuTrigger,33)="Always",COUNTIF($D$30:$D$51,INDEX(WuTrigger,33))&gt;0,COUNTIF($E$30:$E$51,INDEX(WuTrigger,33))&gt;0),1,0)</f>
        <v>0</v>
      </c>
      <c r="Z44" s="2" t="n">
        <f aca="false">INDEX(WuPriority,33)*1000+33</f>
        <v>4033</v>
      </c>
      <c r="AA44" s="2" t="str">
        <f aca="false">IF($Y44=0,"",SUMIFS(WuMin,$Y$12:$Y$60,1,$Z$12:$Z$60,"&lt;="&amp;$Z44))</f>
        <v/>
      </c>
      <c r="AB44" s="2" t="n">
        <f aca="false">IF(AND($Y44=1,$AA44&lt;=$B$6),1,0)</f>
        <v>0</v>
      </c>
      <c r="AC44" s="2" t="n">
        <f aca="false">INDEX(WuPhaseN,33)*1000+33</f>
        <v>3033</v>
      </c>
      <c r="AD44" s="2" t="str">
        <f aca="false">IF($AB44=0,"",COUNTIFS($AB$12:$AB$60,1,$AC$12:$AC$60,"&lt;"&amp;$AC44)+1)</f>
        <v/>
      </c>
      <c r="AE44" s="2"/>
      <c r="AF44" s="2" t="n">
        <f aca="false">IF(OR(INDEX(MoTarget,33)="Always",COUNTIF($E$30:$E$51,INDEX(MoTarget,33))&gt;0,COUNTIF($F$30:$F$51,"*"&amp;INDEX(MoTarget,33)&amp;"*")&gt;0),1,0)</f>
        <v>0</v>
      </c>
      <c r="AG44" s="2" t="n">
        <f aca="false">INDEX(MoPriority,33)*1000+33</f>
        <v>4033</v>
      </c>
      <c r="AH44" s="2" t="str">
        <f aca="false">IF($AF44=0,"",SUMIFS(MoMin,$AF$12:$AF$54,1,$AG$12:$AG$54,"&lt;="&amp;$AG44))</f>
        <v/>
      </c>
      <c r="AI44" s="2" t="n">
        <f aca="false">IF(AND($AF44=1,$AH44&lt;=$B$7),1,0)</f>
        <v>0</v>
      </c>
      <c r="AJ44" s="2" t="n">
        <f aca="false">INDEX(MoTypeN,33)*1000+33</f>
        <v>3033</v>
      </c>
      <c r="AK44" s="2" t="str">
        <f aca="false">IF($AI44=0,"",COUNTIFS($AI$12:$AI$54,1,$AJ$12:$AJ$54,"&lt;"&amp;$AJ44)+1)</f>
        <v/>
      </c>
    </row>
    <row r="45" customFormat="false" ht="30" hidden="false" customHeight="true" outlineLevel="0" collapsed="false">
      <c r="A45" s="19" t="n">
        <v>16</v>
      </c>
      <c r="B45" s="41"/>
      <c r="C45" s="42" t="str">
        <f aca="false">IF($B45="","",IFERROR(INDEX(ExEquip,MATCH($B45,ExName,0)),"?"))</f>
        <v/>
      </c>
      <c r="D45" s="42" t="str">
        <f aca="false">IF($B45="","",IFERROR(INDEX(ExPattern,MATCH($B45,ExName,0)),"?"))</f>
        <v/>
      </c>
      <c r="E45" s="42" t="str">
        <f aca="false">IF($B45="","",IFERROR(INDEX(ExPrimary,MATCH($B45,ExName,0)),"?"))</f>
        <v/>
      </c>
      <c r="F45" s="43" t="str">
        <f aca="false">IF($B45="","",IFERROR(INDEX(ExSecondary,MATCH($B45,ExName,0)),""))</f>
        <v/>
      </c>
      <c r="G45" s="42" t="str">
        <f aca="false">IF($B45="","",IFERROR(INDEX(ExProfile,MATCH($B45,ExName,0)),"?"))</f>
        <v/>
      </c>
      <c r="H45" s="35" t="str">
        <f aca="false">IF($G45="","",IFERROR(INDEX(PrSets,MATCH($G45&amp;"|"&amp;$B$5,PrKey,0)),"?"))</f>
        <v/>
      </c>
      <c r="I45" s="35" t="str">
        <f aca="false">IF($G45="","",IFERROR(INDEX(PrReps,MATCH($G45&amp;"|"&amp;$B$5,PrKey,0)),"?"))</f>
        <v/>
      </c>
      <c r="J45" s="35" t="str">
        <f aca="false">IF($G45="","",IFERROR(INDEX(PrLoad,MATCH($G45&amp;"|"&amp;$B$5,PrKey,0)),"?"))</f>
        <v/>
      </c>
      <c r="K45" s="35" t="str">
        <f aca="false">IF($B45="","",IF(N($S45)=0,"Bodyweight / RPE",IF(N($R45)=0,"Enter 1RM in library",TEXT(MROUND($R45*$S45,2.5),"0.0")&amp;"–"&amp;TEXT(MROUND($R45*$T45,2.5),"0.0")&amp;" kg")))</f>
        <v/>
      </c>
      <c r="L45" s="35" t="str">
        <f aca="false">IF($G45="","",IFERROR(INDEX(PrRest,MATCH($G45&amp;"|"&amp;$B$5,PrKey,0)),"?"))</f>
        <v/>
      </c>
      <c r="M45" s="43" t="str">
        <f aca="false">IF($G45="","",IFERROR(INDEX(PrNote,MATCH($G45&amp;"|"&amp;$B$5,PrKey,0)),""))</f>
        <v/>
      </c>
      <c r="N45" s="44"/>
      <c r="O45" s="45"/>
      <c r="P45" s="35" t="str">
        <f aca="false">IF(OR($B45="",$U45=""),"",IF($U45=0,0,ROUND(($U45*($V45+$W45)+TimeSetup)/60,0)))</f>
        <v/>
      </c>
      <c r="Q45" s="2"/>
      <c r="R45" s="2" t="str">
        <f aca="false">IF($B45="","",IFERROR(INDEX(Ex1RM,MATCH($B45,ExName,0)),""))</f>
        <v/>
      </c>
      <c r="S45" s="2" t="str">
        <f aca="false">IF($G45="","",IFERROR(INDEX(PrMin,MATCH($G45&amp;"|"&amp;$B$5,PrKey,0)),""))</f>
        <v/>
      </c>
      <c r="T45" s="2" t="str">
        <f aca="false">IF($G45="","",IFERROR(INDEX(PrMax,MATCH($G45&amp;"|"&amp;$B$5,PrKey,0)),""))</f>
        <v/>
      </c>
      <c r="U45" s="2" t="str">
        <f aca="false">IF($G45="","",IFERROR(INDEX(PrSetsN,MATCH($G45&amp;"|"&amp;$B$5,PrKey,0)),""))</f>
        <v/>
      </c>
      <c r="V45" s="2" t="str">
        <f aca="false">IF($G45="","",IFERROR(INDEX(PrWorkS,MATCH($G45&amp;"|"&amp;$B$5,PrKey,0)),""))</f>
        <v/>
      </c>
      <c r="W45" s="2" t="str">
        <f aca="false">IF($G45="","",IFERROR(INDEX(PrRestS,MATCH($G45&amp;"|"&amp;$B$5,PrKey,0)),""))</f>
        <v/>
      </c>
      <c r="X45" s="2"/>
      <c r="Y45" s="2" t="n">
        <f aca="false">IF(OR(INDEX(WuTrigger,34)="Always",COUNTIF($D$30:$D$51,INDEX(WuTrigger,34))&gt;0,COUNTIF($E$30:$E$51,INDEX(WuTrigger,34))&gt;0),1,0)</f>
        <v>0</v>
      </c>
      <c r="Z45" s="2" t="n">
        <f aca="false">INDEX(WuPriority,34)*1000+34</f>
        <v>4034</v>
      </c>
      <c r="AA45" s="2" t="str">
        <f aca="false">IF($Y45=0,"",SUMIFS(WuMin,$Y$12:$Y$60,1,$Z$12:$Z$60,"&lt;="&amp;$Z45))</f>
        <v/>
      </c>
      <c r="AB45" s="2" t="n">
        <f aca="false">IF(AND($Y45=1,$AA45&lt;=$B$6),1,0)</f>
        <v>0</v>
      </c>
      <c r="AC45" s="2" t="n">
        <f aca="false">INDEX(WuPhaseN,34)*1000+34</f>
        <v>3034</v>
      </c>
      <c r="AD45" s="2" t="str">
        <f aca="false">IF($AB45=0,"",COUNTIFS($AB$12:$AB$60,1,$AC$12:$AC$60,"&lt;"&amp;$AC45)+1)</f>
        <v/>
      </c>
      <c r="AE45" s="2"/>
      <c r="AF45" s="2" t="n">
        <f aca="false">IF(OR(INDEX(MoTarget,34)="Always",COUNTIF($E$30:$E$51,INDEX(MoTarget,34))&gt;0,COUNTIF($F$30:$F$51,"*"&amp;INDEX(MoTarget,34)&amp;"*")&gt;0),1,0)</f>
        <v>0</v>
      </c>
      <c r="AG45" s="2" t="n">
        <f aca="false">INDEX(MoPriority,34)*1000+34</f>
        <v>3034</v>
      </c>
      <c r="AH45" s="2" t="str">
        <f aca="false">IF($AF45=0,"",SUMIFS(MoMin,$AF$12:$AF$54,1,$AG$12:$AG$54,"&lt;="&amp;$AG45))</f>
        <v/>
      </c>
      <c r="AI45" s="2" t="n">
        <f aca="false">IF(AND($AF45=1,$AH45&lt;=$B$7),1,0)</f>
        <v>0</v>
      </c>
      <c r="AJ45" s="2" t="n">
        <f aca="false">INDEX(MoTypeN,34)*1000+34</f>
        <v>3034</v>
      </c>
      <c r="AK45" s="2" t="str">
        <f aca="false">IF($AI45=0,"",COUNTIFS($AI$12:$AI$54,1,$AJ$12:$AJ$54,"&lt;"&amp;$AJ45)+1)</f>
        <v/>
      </c>
    </row>
    <row r="46" customFormat="false" ht="30" hidden="false" customHeight="true" outlineLevel="0" collapsed="false">
      <c r="A46" s="19" t="n">
        <v>17</v>
      </c>
      <c r="B46" s="41"/>
      <c r="C46" s="42" t="str">
        <f aca="false">IF($B46="","",IFERROR(INDEX(ExEquip,MATCH($B46,ExName,0)),"?"))</f>
        <v/>
      </c>
      <c r="D46" s="42" t="str">
        <f aca="false">IF($B46="","",IFERROR(INDEX(ExPattern,MATCH($B46,ExName,0)),"?"))</f>
        <v/>
      </c>
      <c r="E46" s="42" t="str">
        <f aca="false">IF($B46="","",IFERROR(INDEX(ExPrimary,MATCH($B46,ExName,0)),"?"))</f>
        <v/>
      </c>
      <c r="F46" s="43" t="str">
        <f aca="false">IF($B46="","",IFERROR(INDEX(ExSecondary,MATCH($B46,ExName,0)),""))</f>
        <v/>
      </c>
      <c r="G46" s="42" t="str">
        <f aca="false">IF($B46="","",IFERROR(INDEX(ExProfile,MATCH($B46,ExName,0)),"?"))</f>
        <v/>
      </c>
      <c r="H46" s="35" t="str">
        <f aca="false">IF($G46="","",IFERROR(INDEX(PrSets,MATCH($G46&amp;"|"&amp;$B$5,PrKey,0)),"?"))</f>
        <v/>
      </c>
      <c r="I46" s="35" t="str">
        <f aca="false">IF($G46="","",IFERROR(INDEX(PrReps,MATCH($G46&amp;"|"&amp;$B$5,PrKey,0)),"?"))</f>
        <v/>
      </c>
      <c r="J46" s="35" t="str">
        <f aca="false">IF($G46="","",IFERROR(INDEX(PrLoad,MATCH($G46&amp;"|"&amp;$B$5,PrKey,0)),"?"))</f>
        <v/>
      </c>
      <c r="K46" s="35" t="str">
        <f aca="false">IF($B46="","",IF(N($S46)=0,"Bodyweight / RPE",IF(N($R46)=0,"Enter 1RM in library",TEXT(MROUND($R46*$S46,2.5),"0.0")&amp;"–"&amp;TEXT(MROUND($R46*$T46,2.5),"0.0")&amp;" kg")))</f>
        <v/>
      </c>
      <c r="L46" s="35" t="str">
        <f aca="false">IF($G46="","",IFERROR(INDEX(PrRest,MATCH($G46&amp;"|"&amp;$B$5,PrKey,0)),"?"))</f>
        <v/>
      </c>
      <c r="M46" s="43" t="str">
        <f aca="false">IF($G46="","",IFERROR(INDEX(PrNote,MATCH($G46&amp;"|"&amp;$B$5,PrKey,0)),""))</f>
        <v/>
      </c>
      <c r="N46" s="44"/>
      <c r="O46" s="45"/>
      <c r="P46" s="35" t="str">
        <f aca="false">IF(OR($B46="",$U46=""),"",IF($U46=0,0,ROUND(($U46*($V46+$W46)+TimeSetup)/60,0)))</f>
        <v/>
      </c>
      <c r="Q46" s="2"/>
      <c r="R46" s="2" t="str">
        <f aca="false">IF($B46="","",IFERROR(INDEX(Ex1RM,MATCH($B46,ExName,0)),""))</f>
        <v/>
      </c>
      <c r="S46" s="2" t="str">
        <f aca="false">IF($G46="","",IFERROR(INDEX(PrMin,MATCH($G46&amp;"|"&amp;$B$5,PrKey,0)),""))</f>
        <v/>
      </c>
      <c r="T46" s="2" t="str">
        <f aca="false">IF($G46="","",IFERROR(INDEX(PrMax,MATCH($G46&amp;"|"&amp;$B$5,PrKey,0)),""))</f>
        <v/>
      </c>
      <c r="U46" s="2" t="str">
        <f aca="false">IF($G46="","",IFERROR(INDEX(PrSetsN,MATCH($G46&amp;"|"&amp;$B$5,PrKey,0)),""))</f>
        <v/>
      </c>
      <c r="V46" s="2" t="str">
        <f aca="false">IF($G46="","",IFERROR(INDEX(PrWorkS,MATCH($G46&amp;"|"&amp;$B$5,PrKey,0)),""))</f>
        <v/>
      </c>
      <c r="W46" s="2" t="str">
        <f aca="false">IF($G46="","",IFERROR(INDEX(PrRestS,MATCH($G46&amp;"|"&amp;$B$5,PrKey,0)),""))</f>
        <v/>
      </c>
      <c r="X46" s="2"/>
      <c r="Y46" s="2" t="n">
        <f aca="false">IF(OR(INDEX(WuTrigger,35)="Always",COUNTIF($D$30:$D$51,INDEX(WuTrigger,35))&gt;0,COUNTIF($E$30:$E$51,INDEX(WuTrigger,35))&gt;0),1,0)</f>
        <v>0</v>
      </c>
      <c r="Z46" s="2" t="n">
        <f aca="false">INDEX(WuPriority,35)*1000+35</f>
        <v>5035</v>
      </c>
      <c r="AA46" s="2" t="str">
        <f aca="false">IF($Y46=0,"",SUMIFS(WuMin,$Y$12:$Y$60,1,$Z$12:$Z$60,"&lt;="&amp;$Z46))</f>
        <v/>
      </c>
      <c r="AB46" s="2" t="n">
        <f aca="false">IF(AND($Y46=1,$AA46&lt;=$B$6),1,0)</f>
        <v>0</v>
      </c>
      <c r="AC46" s="2" t="n">
        <f aca="false">INDEX(WuPhaseN,35)*1000+35</f>
        <v>3035</v>
      </c>
      <c r="AD46" s="2" t="str">
        <f aca="false">IF($AB46=0,"",COUNTIFS($AB$12:$AB$60,1,$AC$12:$AC$60,"&lt;"&amp;$AC46)+1)</f>
        <v/>
      </c>
      <c r="AE46" s="2"/>
      <c r="AF46" s="2" t="n">
        <f aca="false">IF(OR(INDEX(MoTarget,35)="Always",COUNTIF($E$30:$E$51,INDEX(MoTarget,35))&gt;0,COUNTIF($F$30:$F$51,"*"&amp;INDEX(MoTarget,35)&amp;"*")&gt;0),1,0)</f>
        <v>0</v>
      </c>
      <c r="AG46" s="2" t="n">
        <f aca="false">INDEX(MoPriority,35)*1000+35</f>
        <v>2035</v>
      </c>
      <c r="AH46" s="2" t="str">
        <f aca="false">IF($AF46=0,"",SUMIFS(MoMin,$AF$12:$AF$54,1,$AG$12:$AG$54,"&lt;="&amp;$AG46))</f>
        <v/>
      </c>
      <c r="AI46" s="2" t="n">
        <f aca="false">IF(AND($AF46=1,$AH46&lt;=$B$7),1,0)</f>
        <v>0</v>
      </c>
      <c r="AJ46" s="2" t="n">
        <f aca="false">INDEX(MoTypeN,35)*1000+35</f>
        <v>3035</v>
      </c>
      <c r="AK46" s="2" t="str">
        <f aca="false">IF($AI46=0,"",COUNTIFS($AI$12:$AI$54,1,$AJ$12:$AJ$54,"&lt;"&amp;$AJ46)+1)</f>
        <v/>
      </c>
    </row>
    <row r="47" customFormat="false" ht="30" hidden="false" customHeight="true" outlineLevel="0" collapsed="false">
      <c r="A47" s="19" t="n">
        <v>18</v>
      </c>
      <c r="B47" s="41"/>
      <c r="C47" s="42" t="str">
        <f aca="false">IF($B47="","",IFERROR(INDEX(ExEquip,MATCH($B47,ExName,0)),"?"))</f>
        <v/>
      </c>
      <c r="D47" s="42" t="str">
        <f aca="false">IF($B47="","",IFERROR(INDEX(ExPattern,MATCH($B47,ExName,0)),"?"))</f>
        <v/>
      </c>
      <c r="E47" s="42" t="str">
        <f aca="false">IF($B47="","",IFERROR(INDEX(ExPrimary,MATCH($B47,ExName,0)),"?"))</f>
        <v/>
      </c>
      <c r="F47" s="43" t="str">
        <f aca="false">IF($B47="","",IFERROR(INDEX(ExSecondary,MATCH($B47,ExName,0)),""))</f>
        <v/>
      </c>
      <c r="G47" s="42" t="str">
        <f aca="false">IF($B47="","",IFERROR(INDEX(ExProfile,MATCH($B47,ExName,0)),"?"))</f>
        <v/>
      </c>
      <c r="H47" s="35" t="str">
        <f aca="false">IF($G47="","",IFERROR(INDEX(PrSets,MATCH($G47&amp;"|"&amp;$B$5,PrKey,0)),"?"))</f>
        <v/>
      </c>
      <c r="I47" s="35" t="str">
        <f aca="false">IF($G47="","",IFERROR(INDEX(PrReps,MATCH($G47&amp;"|"&amp;$B$5,PrKey,0)),"?"))</f>
        <v/>
      </c>
      <c r="J47" s="35" t="str">
        <f aca="false">IF($G47="","",IFERROR(INDEX(PrLoad,MATCH($G47&amp;"|"&amp;$B$5,PrKey,0)),"?"))</f>
        <v/>
      </c>
      <c r="K47" s="35" t="str">
        <f aca="false">IF($B47="","",IF(N($S47)=0,"Bodyweight / RPE",IF(N($R47)=0,"Enter 1RM in library",TEXT(MROUND($R47*$S47,2.5),"0.0")&amp;"–"&amp;TEXT(MROUND($R47*$T47,2.5),"0.0")&amp;" kg")))</f>
        <v/>
      </c>
      <c r="L47" s="35" t="str">
        <f aca="false">IF($G47="","",IFERROR(INDEX(PrRest,MATCH($G47&amp;"|"&amp;$B$5,PrKey,0)),"?"))</f>
        <v/>
      </c>
      <c r="M47" s="43" t="str">
        <f aca="false">IF($G47="","",IFERROR(INDEX(PrNote,MATCH($G47&amp;"|"&amp;$B$5,PrKey,0)),""))</f>
        <v/>
      </c>
      <c r="N47" s="44"/>
      <c r="O47" s="45"/>
      <c r="P47" s="35" t="str">
        <f aca="false">IF(OR($B47="",$U47=""),"",IF($U47=0,0,ROUND(($U47*($V47+$W47)+TimeSetup)/60,0)))</f>
        <v/>
      </c>
      <c r="Q47" s="2"/>
      <c r="R47" s="2" t="str">
        <f aca="false">IF($B47="","",IFERROR(INDEX(Ex1RM,MATCH($B47,ExName,0)),""))</f>
        <v/>
      </c>
      <c r="S47" s="2" t="str">
        <f aca="false">IF($G47="","",IFERROR(INDEX(PrMin,MATCH($G47&amp;"|"&amp;$B$5,PrKey,0)),""))</f>
        <v/>
      </c>
      <c r="T47" s="2" t="str">
        <f aca="false">IF($G47="","",IFERROR(INDEX(PrMax,MATCH($G47&amp;"|"&amp;$B$5,PrKey,0)),""))</f>
        <v/>
      </c>
      <c r="U47" s="2" t="str">
        <f aca="false">IF($G47="","",IFERROR(INDEX(PrSetsN,MATCH($G47&amp;"|"&amp;$B$5,PrKey,0)),""))</f>
        <v/>
      </c>
      <c r="V47" s="2" t="str">
        <f aca="false">IF($G47="","",IFERROR(INDEX(PrWorkS,MATCH($G47&amp;"|"&amp;$B$5,PrKey,0)),""))</f>
        <v/>
      </c>
      <c r="W47" s="2" t="str">
        <f aca="false">IF($G47="","",IFERROR(INDEX(PrRestS,MATCH($G47&amp;"|"&amp;$B$5,PrKey,0)),""))</f>
        <v/>
      </c>
      <c r="X47" s="2"/>
      <c r="Y47" s="2" t="n">
        <f aca="false">IF(OR(INDEX(WuTrigger,36)="Always",COUNTIF($D$30:$D$51,INDEX(WuTrigger,36))&gt;0,COUNTIF($E$30:$E$51,INDEX(WuTrigger,36))&gt;0),1,0)</f>
        <v>0</v>
      </c>
      <c r="Z47" s="2" t="n">
        <f aca="false">INDEX(WuPriority,36)*1000+36</f>
        <v>4036</v>
      </c>
      <c r="AA47" s="2" t="str">
        <f aca="false">IF($Y47=0,"",SUMIFS(WuMin,$Y$12:$Y$60,1,$Z$12:$Z$60,"&lt;="&amp;$Z47))</f>
        <v/>
      </c>
      <c r="AB47" s="2" t="n">
        <f aca="false">IF(AND($Y47=1,$AA47&lt;=$B$6),1,0)</f>
        <v>0</v>
      </c>
      <c r="AC47" s="2" t="n">
        <f aca="false">INDEX(WuPhaseN,36)*1000+36</f>
        <v>3036</v>
      </c>
      <c r="AD47" s="2" t="str">
        <f aca="false">IF($AB47=0,"",COUNTIFS($AB$12:$AB$60,1,$AC$12:$AC$60,"&lt;"&amp;$AC47)+1)</f>
        <v/>
      </c>
      <c r="AE47" s="2"/>
      <c r="AF47" s="2" t="n">
        <f aca="false">IF(OR(INDEX(MoTarget,36)="Always",COUNTIF($E$30:$E$51,INDEX(MoTarget,36))&gt;0,COUNTIF($F$30:$F$51,"*"&amp;INDEX(MoTarget,36)&amp;"*")&gt;0),1,0)</f>
        <v>0</v>
      </c>
      <c r="AG47" s="2" t="n">
        <f aca="false">INDEX(MoPriority,36)*1000+36</f>
        <v>3036</v>
      </c>
      <c r="AH47" s="2" t="str">
        <f aca="false">IF($AF47=0,"",SUMIFS(MoMin,$AF$12:$AF$54,1,$AG$12:$AG$54,"&lt;="&amp;$AG47))</f>
        <v/>
      </c>
      <c r="AI47" s="2" t="n">
        <f aca="false">IF(AND($AF47=1,$AH47&lt;=$B$7),1,0)</f>
        <v>0</v>
      </c>
      <c r="AJ47" s="2" t="n">
        <f aca="false">INDEX(MoTypeN,36)*1000+36</f>
        <v>3036</v>
      </c>
      <c r="AK47" s="2" t="str">
        <f aca="false">IF($AI47=0,"",COUNTIFS($AI$12:$AI$54,1,$AJ$12:$AJ$54,"&lt;"&amp;$AJ47)+1)</f>
        <v/>
      </c>
    </row>
    <row r="48" customFormat="false" ht="30" hidden="false" customHeight="true" outlineLevel="0" collapsed="false">
      <c r="A48" s="19" t="n">
        <v>19</v>
      </c>
      <c r="B48" s="41"/>
      <c r="C48" s="42" t="str">
        <f aca="false">IF($B48="","",IFERROR(INDEX(ExEquip,MATCH($B48,ExName,0)),"?"))</f>
        <v/>
      </c>
      <c r="D48" s="42" t="str">
        <f aca="false">IF($B48="","",IFERROR(INDEX(ExPattern,MATCH($B48,ExName,0)),"?"))</f>
        <v/>
      </c>
      <c r="E48" s="42" t="str">
        <f aca="false">IF($B48="","",IFERROR(INDEX(ExPrimary,MATCH($B48,ExName,0)),"?"))</f>
        <v/>
      </c>
      <c r="F48" s="43" t="str">
        <f aca="false">IF($B48="","",IFERROR(INDEX(ExSecondary,MATCH($B48,ExName,0)),""))</f>
        <v/>
      </c>
      <c r="G48" s="42" t="str">
        <f aca="false">IF($B48="","",IFERROR(INDEX(ExProfile,MATCH($B48,ExName,0)),"?"))</f>
        <v/>
      </c>
      <c r="H48" s="35" t="str">
        <f aca="false">IF($G48="","",IFERROR(INDEX(PrSets,MATCH($G48&amp;"|"&amp;$B$5,PrKey,0)),"?"))</f>
        <v/>
      </c>
      <c r="I48" s="35" t="str">
        <f aca="false">IF($G48="","",IFERROR(INDEX(PrReps,MATCH($G48&amp;"|"&amp;$B$5,PrKey,0)),"?"))</f>
        <v/>
      </c>
      <c r="J48" s="35" t="str">
        <f aca="false">IF($G48="","",IFERROR(INDEX(PrLoad,MATCH($G48&amp;"|"&amp;$B$5,PrKey,0)),"?"))</f>
        <v/>
      </c>
      <c r="K48" s="35" t="str">
        <f aca="false">IF($B48="","",IF(N($S48)=0,"Bodyweight / RPE",IF(N($R48)=0,"Enter 1RM in library",TEXT(MROUND($R48*$S48,2.5),"0.0")&amp;"–"&amp;TEXT(MROUND($R48*$T48,2.5),"0.0")&amp;" kg")))</f>
        <v/>
      </c>
      <c r="L48" s="35" t="str">
        <f aca="false">IF($G48="","",IFERROR(INDEX(PrRest,MATCH($G48&amp;"|"&amp;$B$5,PrKey,0)),"?"))</f>
        <v/>
      </c>
      <c r="M48" s="43" t="str">
        <f aca="false">IF($G48="","",IFERROR(INDEX(PrNote,MATCH($G48&amp;"|"&amp;$B$5,PrKey,0)),""))</f>
        <v/>
      </c>
      <c r="N48" s="44"/>
      <c r="O48" s="45"/>
      <c r="P48" s="35" t="str">
        <f aca="false">IF(OR($B48="",$U48=""),"",IF($U48=0,0,ROUND(($U48*($V48+$W48)+TimeSetup)/60,0)))</f>
        <v/>
      </c>
      <c r="Q48" s="2"/>
      <c r="R48" s="2" t="str">
        <f aca="false">IF($B48="","",IFERROR(INDEX(Ex1RM,MATCH($B48,ExName,0)),""))</f>
        <v/>
      </c>
      <c r="S48" s="2" t="str">
        <f aca="false">IF($G48="","",IFERROR(INDEX(PrMin,MATCH($G48&amp;"|"&amp;$B$5,PrKey,0)),""))</f>
        <v/>
      </c>
      <c r="T48" s="2" t="str">
        <f aca="false">IF($G48="","",IFERROR(INDEX(PrMax,MATCH($G48&amp;"|"&amp;$B$5,PrKey,0)),""))</f>
        <v/>
      </c>
      <c r="U48" s="2" t="str">
        <f aca="false">IF($G48="","",IFERROR(INDEX(PrSetsN,MATCH($G48&amp;"|"&amp;$B$5,PrKey,0)),""))</f>
        <v/>
      </c>
      <c r="V48" s="2" t="str">
        <f aca="false">IF($G48="","",IFERROR(INDEX(PrWorkS,MATCH($G48&amp;"|"&amp;$B$5,PrKey,0)),""))</f>
        <v/>
      </c>
      <c r="W48" s="2" t="str">
        <f aca="false">IF($G48="","",IFERROR(INDEX(PrRestS,MATCH($G48&amp;"|"&amp;$B$5,PrKey,0)),""))</f>
        <v/>
      </c>
      <c r="X48" s="2"/>
      <c r="Y48" s="2" t="n">
        <f aca="false">IF(OR(INDEX(WuTrigger,37)="Always",COUNTIF($D$30:$D$51,INDEX(WuTrigger,37))&gt;0,COUNTIF($E$30:$E$51,INDEX(WuTrigger,37))&gt;0),1,0)</f>
        <v>0</v>
      </c>
      <c r="Z48" s="2" t="n">
        <f aca="false">INDEX(WuPriority,37)*1000+37</f>
        <v>4037</v>
      </c>
      <c r="AA48" s="2" t="str">
        <f aca="false">IF($Y48=0,"",SUMIFS(WuMin,$Y$12:$Y$60,1,$Z$12:$Z$60,"&lt;="&amp;$Z48))</f>
        <v/>
      </c>
      <c r="AB48" s="2" t="n">
        <f aca="false">IF(AND($Y48=1,$AA48&lt;=$B$6),1,0)</f>
        <v>0</v>
      </c>
      <c r="AC48" s="2" t="n">
        <f aca="false">INDEX(WuPhaseN,37)*1000+37</f>
        <v>4037</v>
      </c>
      <c r="AD48" s="2" t="str">
        <f aca="false">IF($AB48=0,"",COUNTIFS($AB$12:$AB$60,1,$AC$12:$AC$60,"&lt;"&amp;$AC48)+1)</f>
        <v/>
      </c>
      <c r="AE48" s="2"/>
      <c r="AF48" s="2" t="n">
        <f aca="false">IF(OR(INDEX(MoTarget,37)="Always",COUNTIF($E$30:$E$51,INDEX(MoTarget,37))&gt;0,COUNTIF($F$30:$F$51,"*"&amp;INDEX(MoTarget,37)&amp;"*")&gt;0),1,0)</f>
        <v>0</v>
      </c>
      <c r="AG48" s="2" t="n">
        <f aca="false">INDEX(MoPriority,37)*1000+37</f>
        <v>4037</v>
      </c>
      <c r="AH48" s="2" t="str">
        <f aca="false">IF($AF48=0,"",SUMIFS(MoMin,$AF$12:$AF$54,1,$AG$12:$AG$54,"&lt;="&amp;$AG48))</f>
        <v/>
      </c>
      <c r="AI48" s="2" t="n">
        <f aca="false">IF(AND($AF48=1,$AH48&lt;=$B$7),1,0)</f>
        <v>0</v>
      </c>
      <c r="AJ48" s="2" t="n">
        <f aca="false">INDEX(MoTypeN,37)*1000+37</f>
        <v>3037</v>
      </c>
      <c r="AK48" s="2" t="str">
        <f aca="false">IF($AI48=0,"",COUNTIFS($AI$12:$AI$54,1,$AJ$12:$AJ$54,"&lt;"&amp;$AJ48)+1)</f>
        <v/>
      </c>
    </row>
    <row r="49" customFormat="false" ht="30" hidden="false" customHeight="true" outlineLevel="0" collapsed="false">
      <c r="A49" s="19" t="n">
        <v>20</v>
      </c>
      <c r="B49" s="41"/>
      <c r="C49" s="42" t="str">
        <f aca="false">IF($B49="","",IFERROR(INDEX(ExEquip,MATCH($B49,ExName,0)),"?"))</f>
        <v/>
      </c>
      <c r="D49" s="42" t="str">
        <f aca="false">IF($B49="","",IFERROR(INDEX(ExPattern,MATCH($B49,ExName,0)),"?"))</f>
        <v/>
      </c>
      <c r="E49" s="42" t="str">
        <f aca="false">IF($B49="","",IFERROR(INDEX(ExPrimary,MATCH($B49,ExName,0)),"?"))</f>
        <v/>
      </c>
      <c r="F49" s="43" t="str">
        <f aca="false">IF($B49="","",IFERROR(INDEX(ExSecondary,MATCH($B49,ExName,0)),""))</f>
        <v/>
      </c>
      <c r="G49" s="42" t="str">
        <f aca="false">IF($B49="","",IFERROR(INDEX(ExProfile,MATCH($B49,ExName,0)),"?"))</f>
        <v/>
      </c>
      <c r="H49" s="35" t="str">
        <f aca="false">IF($G49="","",IFERROR(INDEX(PrSets,MATCH($G49&amp;"|"&amp;$B$5,PrKey,0)),"?"))</f>
        <v/>
      </c>
      <c r="I49" s="35" t="str">
        <f aca="false">IF($G49="","",IFERROR(INDEX(PrReps,MATCH($G49&amp;"|"&amp;$B$5,PrKey,0)),"?"))</f>
        <v/>
      </c>
      <c r="J49" s="35" t="str">
        <f aca="false">IF($G49="","",IFERROR(INDEX(PrLoad,MATCH($G49&amp;"|"&amp;$B$5,PrKey,0)),"?"))</f>
        <v/>
      </c>
      <c r="K49" s="35" t="str">
        <f aca="false">IF($B49="","",IF(N($S49)=0,"Bodyweight / RPE",IF(N($R49)=0,"Enter 1RM in library",TEXT(MROUND($R49*$S49,2.5),"0.0")&amp;"–"&amp;TEXT(MROUND($R49*$T49,2.5),"0.0")&amp;" kg")))</f>
        <v/>
      </c>
      <c r="L49" s="35" t="str">
        <f aca="false">IF($G49="","",IFERROR(INDEX(PrRest,MATCH($G49&amp;"|"&amp;$B$5,PrKey,0)),"?"))</f>
        <v/>
      </c>
      <c r="M49" s="43" t="str">
        <f aca="false">IF($G49="","",IFERROR(INDEX(PrNote,MATCH($G49&amp;"|"&amp;$B$5,PrKey,0)),""))</f>
        <v/>
      </c>
      <c r="N49" s="44"/>
      <c r="O49" s="45"/>
      <c r="P49" s="35" t="str">
        <f aca="false">IF(OR($B49="",$U49=""),"",IF($U49=0,0,ROUND(($U49*($V49+$W49)+TimeSetup)/60,0)))</f>
        <v/>
      </c>
      <c r="Q49" s="2"/>
      <c r="R49" s="2" t="str">
        <f aca="false">IF($B49="","",IFERROR(INDEX(Ex1RM,MATCH($B49,ExName,0)),""))</f>
        <v/>
      </c>
      <c r="S49" s="2" t="str">
        <f aca="false">IF($G49="","",IFERROR(INDEX(PrMin,MATCH($G49&amp;"|"&amp;$B$5,PrKey,0)),""))</f>
        <v/>
      </c>
      <c r="T49" s="2" t="str">
        <f aca="false">IF($G49="","",IFERROR(INDEX(PrMax,MATCH($G49&amp;"|"&amp;$B$5,PrKey,0)),""))</f>
        <v/>
      </c>
      <c r="U49" s="2" t="str">
        <f aca="false">IF($G49="","",IFERROR(INDEX(PrSetsN,MATCH($G49&amp;"|"&amp;$B$5,PrKey,0)),""))</f>
        <v/>
      </c>
      <c r="V49" s="2" t="str">
        <f aca="false">IF($G49="","",IFERROR(INDEX(PrWorkS,MATCH($G49&amp;"|"&amp;$B$5,PrKey,0)),""))</f>
        <v/>
      </c>
      <c r="W49" s="2" t="str">
        <f aca="false">IF($G49="","",IFERROR(INDEX(PrRestS,MATCH($G49&amp;"|"&amp;$B$5,PrKey,0)),""))</f>
        <v/>
      </c>
      <c r="X49" s="2"/>
      <c r="Y49" s="2" t="n">
        <f aca="false">IF(OR(INDEX(WuTrigger,38)="Always",COUNTIF($D$30:$D$51,INDEX(WuTrigger,38))&gt;0,COUNTIF($E$30:$E$51,INDEX(WuTrigger,38))&gt;0),1,0)</f>
        <v>0</v>
      </c>
      <c r="Z49" s="2" t="n">
        <f aca="false">INDEX(WuPriority,38)*1000+38</f>
        <v>6038</v>
      </c>
      <c r="AA49" s="2" t="str">
        <f aca="false">IF($Y49=0,"",SUMIFS(WuMin,$Y$12:$Y$60,1,$Z$12:$Z$60,"&lt;="&amp;$Z49))</f>
        <v/>
      </c>
      <c r="AB49" s="2" t="n">
        <f aca="false">IF(AND($Y49=1,$AA49&lt;=$B$6),1,0)</f>
        <v>0</v>
      </c>
      <c r="AC49" s="2" t="n">
        <f aca="false">INDEX(WuPhaseN,38)*1000+38</f>
        <v>2038</v>
      </c>
      <c r="AD49" s="2" t="str">
        <f aca="false">IF($AB49=0,"",COUNTIFS($AB$12:$AB$60,1,$AC$12:$AC$60,"&lt;"&amp;$AC49)+1)</f>
        <v/>
      </c>
      <c r="AE49" s="2"/>
      <c r="AF49" s="2" t="n">
        <f aca="false">IF(OR(INDEX(MoTarget,38)="Always",COUNTIF($E$30:$E$51,INDEX(MoTarget,38))&gt;0,COUNTIF($F$30:$F$51,"*"&amp;INDEX(MoTarget,38)&amp;"*")&gt;0),1,0)</f>
        <v>0</v>
      </c>
      <c r="AG49" s="2" t="n">
        <f aca="false">INDEX(MoPriority,38)*1000+38</f>
        <v>3038</v>
      </c>
      <c r="AH49" s="2" t="str">
        <f aca="false">IF($AF49=0,"",SUMIFS(MoMin,$AF$12:$AF$54,1,$AG$12:$AG$54,"&lt;="&amp;$AG49))</f>
        <v/>
      </c>
      <c r="AI49" s="2" t="n">
        <f aca="false">IF(AND($AF49=1,$AH49&lt;=$B$7),1,0)</f>
        <v>0</v>
      </c>
      <c r="AJ49" s="2" t="n">
        <f aca="false">INDEX(MoTypeN,38)*1000+38</f>
        <v>3038</v>
      </c>
      <c r="AK49" s="2" t="str">
        <f aca="false">IF($AI49=0,"",COUNTIFS($AI$12:$AI$54,1,$AJ$12:$AJ$54,"&lt;"&amp;$AJ49)+1)</f>
        <v/>
      </c>
    </row>
    <row r="50" customFormat="false" ht="30" hidden="false" customHeight="true" outlineLevel="0" collapsed="false">
      <c r="A50" s="19" t="n">
        <v>21</v>
      </c>
      <c r="B50" s="41"/>
      <c r="C50" s="42" t="str">
        <f aca="false">IF($B50="","",IFERROR(INDEX(ExEquip,MATCH($B50,ExName,0)),"?"))</f>
        <v/>
      </c>
      <c r="D50" s="42" t="str">
        <f aca="false">IF($B50="","",IFERROR(INDEX(ExPattern,MATCH($B50,ExName,0)),"?"))</f>
        <v/>
      </c>
      <c r="E50" s="42" t="str">
        <f aca="false">IF($B50="","",IFERROR(INDEX(ExPrimary,MATCH($B50,ExName,0)),"?"))</f>
        <v/>
      </c>
      <c r="F50" s="43" t="str">
        <f aca="false">IF($B50="","",IFERROR(INDEX(ExSecondary,MATCH($B50,ExName,0)),""))</f>
        <v/>
      </c>
      <c r="G50" s="42" t="str">
        <f aca="false">IF($B50="","",IFERROR(INDEX(ExProfile,MATCH($B50,ExName,0)),"?"))</f>
        <v/>
      </c>
      <c r="H50" s="35" t="str">
        <f aca="false">IF($G50="","",IFERROR(INDEX(PrSets,MATCH($G50&amp;"|"&amp;$B$5,PrKey,0)),"?"))</f>
        <v/>
      </c>
      <c r="I50" s="35" t="str">
        <f aca="false">IF($G50="","",IFERROR(INDEX(PrReps,MATCH($G50&amp;"|"&amp;$B$5,PrKey,0)),"?"))</f>
        <v/>
      </c>
      <c r="J50" s="35" t="str">
        <f aca="false">IF($G50="","",IFERROR(INDEX(PrLoad,MATCH($G50&amp;"|"&amp;$B$5,PrKey,0)),"?"))</f>
        <v/>
      </c>
      <c r="K50" s="35" t="str">
        <f aca="false">IF($B50="","",IF(N($S50)=0,"Bodyweight / RPE",IF(N($R50)=0,"Enter 1RM in library",TEXT(MROUND($R50*$S50,2.5),"0.0")&amp;"–"&amp;TEXT(MROUND($R50*$T50,2.5),"0.0")&amp;" kg")))</f>
        <v/>
      </c>
      <c r="L50" s="35" t="str">
        <f aca="false">IF($G50="","",IFERROR(INDEX(PrRest,MATCH($G50&amp;"|"&amp;$B$5,PrKey,0)),"?"))</f>
        <v/>
      </c>
      <c r="M50" s="43" t="str">
        <f aca="false">IF($G50="","",IFERROR(INDEX(PrNote,MATCH($G50&amp;"|"&amp;$B$5,PrKey,0)),""))</f>
        <v/>
      </c>
      <c r="N50" s="44"/>
      <c r="O50" s="45"/>
      <c r="P50" s="35" t="str">
        <f aca="false">IF(OR($B50="",$U50=""),"",IF($U50=0,0,ROUND(($U50*($V50+$W50)+TimeSetup)/60,0)))</f>
        <v/>
      </c>
      <c r="Q50" s="2"/>
      <c r="R50" s="2" t="str">
        <f aca="false">IF($B50="","",IFERROR(INDEX(Ex1RM,MATCH($B50,ExName,0)),""))</f>
        <v/>
      </c>
      <c r="S50" s="2" t="str">
        <f aca="false">IF($G50="","",IFERROR(INDEX(PrMin,MATCH($G50&amp;"|"&amp;$B$5,PrKey,0)),""))</f>
        <v/>
      </c>
      <c r="T50" s="2" t="str">
        <f aca="false">IF($G50="","",IFERROR(INDEX(PrMax,MATCH($G50&amp;"|"&amp;$B$5,PrKey,0)),""))</f>
        <v/>
      </c>
      <c r="U50" s="2" t="str">
        <f aca="false">IF($G50="","",IFERROR(INDEX(PrSetsN,MATCH($G50&amp;"|"&amp;$B$5,PrKey,0)),""))</f>
        <v/>
      </c>
      <c r="V50" s="2" t="str">
        <f aca="false">IF($G50="","",IFERROR(INDEX(PrWorkS,MATCH($G50&amp;"|"&amp;$B$5,PrKey,0)),""))</f>
        <v/>
      </c>
      <c r="W50" s="2" t="str">
        <f aca="false">IF($G50="","",IFERROR(INDEX(PrRestS,MATCH($G50&amp;"|"&amp;$B$5,PrKey,0)),""))</f>
        <v/>
      </c>
      <c r="X50" s="2"/>
      <c r="Y50" s="2" t="n">
        <f aca="false">IF(OR(INDEX(WuTrigger,39)="Always",COUNTIF($D$30:$D$51,INDEX(WuTrigger,39))&gt;0,COUNTIF($E$30:$E$51,INDEX(WuTrigger,39))&gt;0),1,0)</f>
        <v>0</v>
      </c>
      <c r="Z50" s="2" t="n">
        <f aca="false">INDEX(WuPriority,39)*1000+39</f>
        <v>5039</v>
      </c>
      <c r="AA50" s="2" t="str">
        <f aca="false">IF($Y50=0,"",SUMIFS(WuMin,$Y$12:$Y$60,1,$Z$12:$Z$60,"&lt;="&amp;$Z50))</f>
        <v/>
      </c>
      <c r="AB50" s="2" t="n">
        <f aca="false">IF(AND($Y50=1,$AA50&lt;=$B$6),1,0)</f>
        <v>0</v>
      </c>
      <c r="AC50" s="2" t="n">
        <f aca="false">INDEX(WuPhaseN,39)*1000+39</f>
        <v>3039</v>
      </c>
      <c r="AD50" s="2" t="str">
        <f aca="false">IF($AB50=0,"",COUNTIFS($AB$12:$AB$60,1,$AC$12:$AC$60,"&lt;"&amp;$AC50)+1)</f>
        <v/>
      </c>
      <c r="AE50" s="2"/>
      <c r="AF50" s="2" t="n">
        <f aca="false">IF(OR(INDEX(MoTarget,39)="Always",COUNTIF($E$30:$E$51,INDEX(MoTarget,39))&gt;0,COUNTIF($F$30:$F$51,"*"&amp;INDEX(MoTarget,39)&amp;"*")&gt;0),1,0)</f>
        <v>0</v>
      </c>
      <c r="AG50" s="2" t="n">
        <f aca="false">INDEX(MoPriority,39)*1000+39</f>
        <v>3039</v>
      </c>
      <c r="AH50" s="2" t="str">
        <f aca="false">IF($AF50=0,"",SUMIFS(MoMin,$AF$12:$AF$54,1,$AG$12:$AG$54,"&lt;="&amp;$AG50))</f>
        <v/>
      </c>
      <c r="AI50" s="2" t="n">
        <f aca="false">IF(AND($AF50=1,$AH50&lt;=$B$7),1,0)</f>
        <v>0</v>
      </c>
      <c r="AJ50" s="2" t="n">
        <f aca="false">INDEX(MoTypeN,39)*1000+39</f>
        <v>3039</v>
      </c>
      <c r="AK50" s="2" t="str">
        <f aca="false">IF($AI50=0,"",COUNTIFS($AI$12:$AI$54,1,$AJ$12:$AJ$54,"&lt;"&amp;$AJ50)+1)</f>
        <v/>
      </c>
    </row>
    <row r="51" customFormat="false" ht="30" hidden="false" customHeight="true" outlineLevel="0" collapsed="false">
      <c r="A51" s="19" t="n">
        <v>22</v>
      </c>
      <c r="B51" s="41"/>
      <c r="C51" s="42" t="str">
        <f aca="false">IF($B51="","",IFERROR(INDEX(ExEquip,MATCH($B51,ExName,0)),"?"))</f>
        <v/>
      </c>
      <c r="D51" s="42" t="str">
        <f aca="false">IF($B51="","",IFERROR(INDEX(ExPattern,MATCH($B51,ExName,0)),"?"))</f>
        <v/>
      </c>
      <c r="E51" s="42" t="str">
        <f aca="false">IF($B51="","",IFERROR(INDEX(ExPrimary,MATCH($B51,ExName,0)),"?"))</f>
        <v/>
      </c>
      <c r="F51" s="43" t="str">
        <f aca="false">IF($B51="","",IFERROR(INDEX(ExSecondary,MATCH($B51,ExName,0)),""))</f>
        <v/>
      </c>
      <c r="G51" s="42" t="str">
        <f aca="false">IF($B51="","",IFERROR(INDEX(ExProfile,MATCH($B51,ExName,0)),"?"))</f>
        <v/>
      </c>
      <c r="H51" s="35" t="str">
        <f aca="false">IF($G51="","",IFERROR(INDEX(PrSets,MATCH($G51&amp;"|"&amp;$B$5,PrKey,0)),"?"))</f>
        <v/>
      </c>
      <c r="I51" s="35" t="str">
        <f aca="false">IF($G51="","",IFERROR(INDEX(PrReps,MATCH($G51&amp;"|"&amp;$B$5,PrKey,0)),"?"))</f>
        <v/>
      </c>
      <c r="J51" s="35" t="str">
        <f aca="false">IF($G51="","",IFERROR(INDEX(PrLoad,MATCH($G51&amp;"|"&amp;$B$5,PrKey,0)),"?"))</f>
        <v/>
      </c>
      <c r="K51" s="35" t="str">
        <f aca="false">IF($B51="","",IF(N($S51)=0,"Bodyweight / RPE",IF(N($R51)=0,"Enter 1RM in library",TEXT(MROUND($R51*$S51,2.5),"0.0")&amp;"–"&amp;TEXT(MROUND($R51*$T51,2.5),"0.0")&amp;" kg")))</f>
        <v/>
      </c>
      <c r="L51" s="35" t="str">
        <f aca="false">IF($G51="","",IFERROR(INDEX(PrRest,MATCH($G51&amp;"|"&amp;$B$5,PrKey,0)),"?"))</f>
        <v/>
      </c>
      <c r="M51" s="43" t="str">
        <f aca="false">IF($G51="","",IFERROR(INDEX(PrNote,MATCH($G51&amp;"|"&amp;$B$5,PrKey,0)),""))</f>
        <v/>
      </c>
      <c r="N51" s="44"/>
      <c r="O51" s="45"/>
      <c r="P51" s="35" t="str">
        <f aca="false">IF(OR($B51="",$U51=""),"",IF($U51=0,0,ROUND(($U51*($V51+$W51)+TimeSetup)/60,0)))</f>
        <v/>
      </c>
      <c r="Q51" s="2"/>
      <c r="R51" s="2" t="str">
        <f aca="false">IF($B51="","",IFERROR(INDEX(Ex1RM,MATCH($B51,ExName,0)),""))</f>
        <v/>
      </c>
      <c r="S51" s="2" t="str">
        <f aca="false">IF($G51="","",IFERROR(INDEX(PrMin,MATCH($G51&amp;"|"&amp;$B$5,PrKey,0)),""))</f>
        <v/>
      </c>
      <c r="T51" s="2" t="str">
        <f aca="false">IF($G51="","",IFERROR(INDEX(PrMax,MATCH($G51&amp;"|"&amp;$B$5,PrKey,0)),""))</f>
        <v/>
      </c>
      <c r="U51" s="2" t="str">
        <f aca="false">IF($G51="","",IFERROR(INDEX(PrSetsN,MATCH($G51&amp;"|"&amp;$B$5,PrKey,0)),""))</f>
        <v/>
      </c>
      <c r="V51" s="2" t="str">
        <f aca="false">IF($G51="","",IFERROR(INDEX(PrWorkS,MATCH($G51&amp;"|"&amp;$B$5,PrKey,0)),""))</f>
        <v/>
      </c>
      <c r="W51" s="2" t="str">
        <f aca="false">IF($G51="","",IFERROR(INDEX(PrRestS,MATCH($G51&amp;"|"&amp;$B$5,PrKey,0)),""))</f>
        <v/>
      </c>
      <c r="X51" s="2"/>
      <c r="Y51" s="2" t="n">
        <f aca="false">IF(OR(INDEX(WuTrigger,40)="Always",COUNTIF($D$30:$D$51,INDEX(WuTrigger,40))&gt;0,COUNTIF($E$30:$E$51,INDEX(WuTrigger,40))&gt;0),1,0)</f>
        <v>0</v>
      </c>
      <c r="Z51" s="2" t="n">
        <f aca="false">INDEX(WuPriority,40)*1000+40</f>
        <v>5040</v>
      </c>
      <c r="AA51" s="2" t="str">
        <f aca="false">IF($Y51=0,"",SUMIFS(WuMin,$Y$12:$Y$60,1,$Z$12:$Z$60,"&lt;="&amp;$Z51))</f>
        <v/>
      </c>
      <c r="AB51" s="2" t="n">
        <f aca="false">IF(AND($Y51=1,$AA51&lt;=$B$6),1,0)</f>
        <v>0</v>
      </c>
      <c r="AC51" s="2" t="n">
        <f aca="false">INDEX(WuPhaseN,40)*1000+40</f>
        <v>2040</v>
      </c>
      <c r="AD51" s="2" t="str">
        <f aca="false">IF($AB51=0,"",COUNTIFS($AB$12:$AB$60,1,$AC$12:$AC$60,"&lt;"&amp;$AC51)+1)</f>
        <v/>
      </c>
      <c r="AE51" s="2"/>
      <c r="AF51" s="2" t="n">
        <f aca="false">IF(OR(INDEX(MoTarget,40)="Always",COUNTIF($E$30:$E$51,INDEX(MoTarget,40))&gt;0,COUNTIF($F$30:$F$51,"*"&amp;INDEX(MoTarget,40)&amp;"*")&gt;0),1,0)</f>
        <v>0</v>
      </c>
      <c r="AG51" s="2" t="n">
        <f aca="false">INDEX(MoPriority,40)*1000+40</f>
        <v>3040</v>
      </c>
      <c r="AH51" s="2" t="str">
        <f aca="false">IF($AF51=0,"",SUMIFS(MoMin,$AF$12:$AF$54,1,$AG$12:$AG$54,"&lt;="&amp;$AG51))</f>
        <v/>
      </c>
      <c r="AI51" s="2" t="n">
        <f aca="false">IF(AND($AF51=1,$AH51&lt;=$B$7),1,0)</f>
        <v>0</v>
      </c>
      <c r="AJ51" s="2" t="n">
        <f aca="false">INDEX(MoTypeN,40)*1000+40</f>
        <v>3040</v>
      </c>
      <c r="AK51" s="2" t="str">
        <f aca="false">IF($AI51=0,"",COUNTIFS($AI$12:$AI$54,1,$AJ$12:$AJ$54,"&lt;"&amp;$AJ51)+1)</f>
        <v/>
      </c>
    </row>
    <row r="52" customFormat="false" ht="15" hidden="false" customHeight="false" outlineLevel="0" collapsed="false">
      <c r="A52" s="38" t="s">
        <v>1037</v>
      </c>
      <c r="B52" s="39"/>
      <c r="C52" s="39"/>
      <c r="D52" s="39"/>
      <c r="E52" s="39"/>
      <c r="F52" s="39"/>
      <c r="G52" s="39"/>
      <c r="H52" s="39"/>
      <c r="I52" s="39"/>
      <c r="J52" s="39"/>
      <c r="K52" s="39"/>
      <c r="L52" s="39"/>
      <c r="M52" s="39"/>
      <c r="N52" s="39"/>
      <c r="O52" s="39"/>
      <c r="P52" s="40" t="n">
        <f aca="false">SUM($P$30:$P$51)</f>
        <v>0</v>
      </c>
      <c r="Q52" s="2"/>
      <c r="R52" s="2"/>
      <c r="S52" s="2"/>
      <c r="T52" s="2"/>
      <c r="U52" s="2"/>
      <c r="V52" s="2"/>
      <c r="W52" s="2"/>
      <c r="X52" s="2"/>
      <c r="Y52" s="2" t="n">
        <f aca="false">IF(OR(INDEX(WuTrigger,41)="Always",COUNTIF($D$30:$D$51,INDEX(WuTrigger,41))&gt;0,COUNTIF($E$30:$E$51,INDEX(WuTrigger,41))&gt;0),1,0)</f>
        <v>0</v>
      </c>
      <c r="Z52" s="2" t="n">
        <f aca="false">INDEX(WuPriority,41)*1000+41</f>
        <v>7041</v>
      </c>
      <c r="AA52" s="2" t="str">
        <f aca="false">IF($Y52=0,"",SUMIFS(WuMin,$Y$12:$Y$60,1,$Z$12:$Z$60,"&lt;="&amp;$Z52))</f>
        <v/>
      </c>
      <c r="AB52" s="2" t="n">
        <f aca="false">IF(AND($Y52=1,$AA52&lt;=$B$6),1,0)</f>
        <v>0</v>
      </c>
      <c r="AC52" s="2" t="n">
        <f aca="false">INDEX(WuPhaseN,41)*1000+41</f>
        <v>2041</v>
      </c>
      <c r="AD52" s="2" t="str">
        <f aca="false">IF($AB52=0,"",COUNTIFS($AB$12:$AB$60,1,$AC$12:$AC$60,"&lt;"&amp;$AC52)+1)</f>
        <v/>
      </c>
      <c r="AE52" s="2"/>
      <c r="AF52" s="2" t="n">
        <f aca="false">IF(OR(INDEX(MoTarget,41)="Always",COUNTIF($E$30:$E$51,INDEX(MoTarget,41))&gt;0,COUNTIF($F$30:$F$51,"*"&amp;INDEX(MoTarget,41)&amp;"*")&gt;0),1,0)</f>
        <v>0</v>
      </c>
      <c r="AG52" s="2" t="n">
        <f aca="false">INDEX(MoPriority,41)*1000+41</f>
        <v>4041</v>
      </c>
      <c r="AH52" s="2" t="str">
        <f aca="false">IF($AF52=0,"",SUMIFS(MoMin,$AF$12:$AF$54,1,$AG$12:$AG$54,"&lt;="&amp;$AG52))</f>
        <v/>
      </c>
      <c r="AI52" s="2" t="n">
        <f aca="false">IF(AND($AF52=1,$AH52&lt;=$B$7),1,0)</f>
        <v>0</v>
      </c>
      <c r="AJ52" s="2" t="n">
        <f aca="false">INDEX(MoTypeN,41)*1000+41</f>
        <v>3041</v>
      </c>
      <c r="AK52" s="2" t="str">
        <f aca="false">IF($AI52=0,"",COUNTIFS($AI$12:$AI$54,1,$AJ$12:$AJ$54,"&lt;"&amp;$AJ52)+1)</f>
        <v/>
      </c>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t="n">
        <f aca="false">IF(OR(INDEX(WuTrigger,42)="Always",COUNTIF($D$30:$D$51,INDEX(WuTrigger,42))&gt;0,COUNTIF($E$30:$E$51,INDEX(WuTrigger,42))&gt;0),1,0)</f>
        <v>0</v>
      </c>
      <c r="Z53" s="2" t="n">
        <f aca="false">INDEX(WuPriority,42)*1000+42</f>
        <v>6042</v>
      </c>
      <c r="AA53" s="2" t="str">
        <f aca="false">IF($Y53=0,"",SUMIFS(WuMin,$Y$12:$Y$60,1,$Z$12:$Z$60,"&lt;="&amp;$Z53))</f>
        <v/>
      </c>
      <c r="AB53" s="2" t="n">
        <f aca="false">IF(AND($Y53=1,$AA53&lt;=$B$6),1,0)</f>
        <v>0</v>
      </c>
      <c r="AC53" s="2" t="n">
        <f aca="false">INDEX(WuPhaseN,42)*1000+42</f>
        <v>3042</v>
      </c>
      <c r="AD53" s="2" t="str">
        <f aca="false">IF($AB53=0,"",COUNTIFS($AB$12:$AB$60,1,$AC$12:$AC$60,"&lt;"&amp;$AC53)+1)</f>
        <v/>
      </c>
      <c r="AE53" s="2"/>
      <c r="AF53" s="2" t="n">
        <f aca="false">IF(OR(INDEX(MoTarget,42)="Always",COUNTIF($E$30:$E$51,INDEX(MoTarget,42))&gt;0,COUNTIF($F$30:$F$51,"*"&amp;INDEX(MoTarget,42)&amp;"*")&gt;0),1,0)</f>
        <v>0</v>
      </c>
      <c r="AG53" s="2" t="n">
        <f aca="false">INDEX(MoPriority,42)*1000+42</f>
        <v>3042</v>
      </c>
      <c r="AH53" s="2" t="str">
        <f aca="false">IF($AF53=0,"",SUMIFS(MoMin,$AF$12:$AF$54,1,$AG$12:$AG$54,"&lt;="&amp;$AG53))</f>
        <v/>
      </c>
      <c r="AI53" s="2" t="n">
        <f aca="false">IF(AND($AF53=1,$AH53&lt;=$B$7),1,0)</f>
        <v>0</v>
      </c>
      <c r="AJ53" s="2" t="n">
        <f aca="false">INDEX(MoTypeN,42)*1000+42</f>
        <v>5042</v>
      </c>
      <c r="AK53" s="2" t="str">
        <f aca="false">IF($AI53=0,"",COUNTIFS($AI$12:$AI$54,1,$AJ$12:$AJ$54,"&lt;"&amp;$AJ53)+1)</f>
        <v/>
      </c>
    </row>
    <row r="54" customFormat="false" ht="19.5" hidden="false" customHeight="true" outlineLevel="0" collapsed="false">
      <c r="A54" s="33" t="s">
        <v>1038</v>
      </c>
      <c r="B54" s="33"/>
      <c r="C54" s="33"/>
      <c r="D54" s="33"/>
      <c r="E54" s="33"/>
      <c r="F54" s="33"/>
      <c r="G54" s="33"/>
      <c r="H54" s="33"/>
      <c r="I54" s="33"/>
      <c r="J54" s="33"/>
      <c r="K54" s="33"/>
      <c r="L54" s="33"/>
      <c r="M54" s="33"/>
      <c r="N54" s="33"/>
      <c r="O54" s="33"/>
      <c r="P54" s="33"/>
      <c r="Q54" s="2"/>
      <c r="R54" s="2"/>
      <c r="S54" s="2"/>
      <c r="T54" s="2"/>
      <c r="U54" s="2"/>
      <c r="V54" s="2"/>
      <c r="W54" s="2"/>
      <c r="X54" s="2"/>
      <c r="Y54" s="2" t="n">
        <f aca="false">IF(OR(INDEX(WuTrigger,43)="Always",COUNTIF($D$30:$D$51,INDEX(WuTrigger,43))&gt;0,COUNTIF($E$30:$E$51,INDEX(WuTrigger,43))&gt;0),1,0)</f>
        <v>0</v>
      </c>
      <c r="Z54" s="2" t="n">
        <f aca="false">INDEX(WuPriority,43)*1000+43</f>
        <v>6043</v>
      </c>
      <c r="AA54" s="2" t="str">
        <f aca="false">IF($Y54=0,"",SUMIFS(WuMin,$Y$12:$Y$60,1,$Z$12:$Z$60,"&lt;="&amp;$Z54))</f>
        <v/>
      </c>
      <c r="AB54" s="2" t="n">
        <f aca="false">IF(AND($Y54=1,$AA54&lt;=$B$6),1,0)</f>
        <v>0</v>
      </c>
      <c r="AC54" s="2" t="n">
        <f aca="false">INDEX(WuPhaseN,43)*1000+43</f>
        <v>2043</v>
      </c>
      <c r="AD54" s="2" t="str">
        <f aca="false">IF($AB54=0,"",COUNTIFS($AB$12:$AB$60,1,$AC$12:$AC$60,"&lt;"&amp;$AC54)+1)</f>
        <v/>
      </c>
      <c r="AE54" s="2"/>
      <c r="AF54" s="2" t="n">
        <f aca="false">IF(OR(INDEX(MoTarget,43)="Always",COUNTIF($E$30:$E$51,INDEX(MoTarget,43))&gt;0,COUNTIF($F$30:$F$51,"*"&amp;INDEX(MoTarget,43)&amp;"*")&gt;0),1,0)</f>
        <v>0</v>
      </c>
      <c r="AG54" s="2" t="n">
        <f aca="false">INDEX(MoPriority,43)*1000+43</f>
        <v>4043</v>
      </c>
      <c r="AH54" s="2" t="str">
        <f aca="false">IF($AF54=0,"",SUMIFS(MoMin,$AF$12:$AF$54,1,$AG$12:$AG$54,"&lt;="&amp;$AG54))</f>
        <v/>
      </c>
      <c r="AI54" s="2" t="n">
        <f aca="false">IF(AND($AF54=1,$AH54&lt;=$B$7),1,0)</f>
        <v>0</v>
      </c>
      <c r="AJ54" s="2" t="n">
        <f aca="false">INDEX(MoTypeN,43)*1000+43</f>
        <v>5043</v>
      </c>
      <c r="AK54" s="2" t="str">
        <f aca="false">IF($AI54=0,"",COUNTIFS($AI$12:$AI$54,1,$AJ$12:$AJ$54,"&lt;"&amp;$AJ54)+1)</f>
        <v/>
      </c>
    </row>
    <row r="55" customFormat="false" ht="19.5" hidden="false" customHeight="true" outlineLevel="0" collapsed="false">
      <c r="A55" s="9" t="s">
        <v>1023</v>
      </c>
      <c r="B55" s="9" t="s">
        <v>52</v>
      </c>
      <c r="C55" s="9" t="s">
        <v>789</v>
      </c>
      <c r="D55" s="9" t="s">
        <v>791</v>
      </c>
      <c r="E55" s="9" t="s">
        <v>1025</v>
      </c>
      <c r="F55" s="9" t="s">
        <v>654</v>
      </c>
      <c r="G55" s="34"/>
      <c r="H55" s="34"/>
      <c r="I55" s="34"/>
      <c r="J55" s="34"/>
      <c r="K55" s="34"/>
      <c r="L55" s="34"/>
      <c r="M55" s="34"/>
      <c r="N55" s="2"/>
      <c r="O55" s="2"/>
      <c r="P55" s="2"/>
      <c r="Q55" s="2"/>
      <c r="R55" s="2"/>
      <c r="S55" s="2"/>
      <c r="T55" s="2"/>
      <c r="U55" s="2"/>
      <c r="V55" s="2"/>
      <c r="W55" s="2"/>
      <c r="X55" s="2"/>
      <c r="Y55" s="2" t="n">
        <f aca="false">IF(OR(INDEX(WuTrigger,44)="Always",COUNTIF($D$30:$D$51,INDEX(WuTrigger,44))&gt;0,COUNTIF($E$30:$E$51,INDEX(WuTrigger,44))&gt;0),1,0)</f>
        <v>0</v>
      </c>
      <c r="Z55" s="2" t="n">
        <f aca="false">INDEX(WuPriority,44)*1000+44</f>
        <v>6044</v>
      </c>
      <c r="AA55" s="2" t="str">
        <f aca="false">IF($Y55=0,"",SUMIFS(WuMin,$Y$12:$Y$60,1,$Z$12:$Z$60,"&lt;="&amp;$Z55))</f>
        <v/>
      </c>
      <c r="AB55" s="2" t="n">
        <f aca="false">IF(AND($Y55=1,$AA55&lt;=$B$6),1,0)</f>
        <v>0</v>
      </c>
      <c r="AC55" s="2" t="n">
        <f aca="false">INDEX(WuPhaseN,44)*1000+44</f>
        <v>2044</v>
      </c>
      <c r="AD55" s="2" t="str">
        <f aca="false">IF($AB55=0,"",COUNTIFS($AB$12:$AB$60,1,$AC$12:$AC$60,"&lt;"&amp;$AC55)+1)</f>
        <v/>
      </c>
      <c r="AE55" s="2"/>
      <c r="AF55" s="2"/>
      <c r="AG55" s="2"/>
      <c r="AH55" s="2"/>
      <c r="AI55" s="2"/>
      <c r="AJ55" s="2"/>
      <c r="AK55" s="2"/>
    </row>
    <row r="56" customFormat="false" ht="24" hidden="false" customHeight="true" outlineLevel="0" collapsed="false">
      <c r="A56" s="35" t="n">
        <v>1</v>
      </c>
      <c r="B56" s="36" t="str">
        <f aca="false">IFERROR(INDEX(MoName,MATCH(1,$AK$12:$AK$54,0)),"")</f>
        <v>Cat-Cow</v>
      </c>
      <c r="C56" s="36" t="str">
        <f aca="false">IF($B56="","",INDEX(MoType,MATCH(1,$AK$12:$AK$54,0)))</f>
        <v>Flow</v>
      </c>
      <c r="D56" s="36" t="str">
        <f aca="false">IF($B56="","",INDEX(MoTarget,MATCH(1,$AK$12:$AK$54,0)))</f>
        <v>Always</v>
      </c>
      <c r="E56" s="35" t="n">
        <f aca="false">IF($B56="","",INDEX(MoMin,MATCH(1,$AK$12:$AK$54,0)))</f>
        <v>2</v>
      </c>
      <c r="F56" s="37" t="str">
        <f aca="false">IF($B56="","",INDEX(MoHow,MATCH(1,$AK$12:$AK$54,0)))</f>
        <v>On all fours. Inhale into extension, exhale into flexion. 10 slow cycles.</v>
      </c>
      <c r="G56" s="37"/>
      <c r="H56" s="37"/>
      <c r="I56" s="37"/>
      <c r="J56" s="37"/>
      <c r="K56" s="37"/>
      <c r="L56" s="37"/>
      <c r="M56" s="37"/>
      <c r="N56" s="2"/>
      <c r="O56" s="2"/>
      <c r="P56" s="2"/>
      <c r="Q56" s="2"/>
      <c r="R56" s="2"/>
      <c r="S56" s="2"/>
      <c r="T56" s="2"/>
      <c r="U56" s="2"/>
      <c r="V56" s="2"/>
      <c r="W56" s="2"/>
      <c r="X56" s="2"/>
      <c r="Y56" s="2" t="n">
        <f aca="false">IF(OR(INDEX(WuTrigger,45)="Always",COUNTIF($D$30:$D$51,INDEX(WuTrigger,45))&gt;0,COUNTIF($E$30:$E$51,INDEX(WuTrigger,45))&gt;0),1,0)</f>
        <v>0</v>
      </c>
      <c r="Z56" s="2" t="n">
        <f aca="false">INDEX(WuPriority,45)*1000+45</f>
        <v>7045</v>
      </c>
      <c r="AA56" s="2" t="str">
        <f aca="false">IF($Y56=0,"",SUMIFS(WuMin,$Y$12:$Y$60,1,$Z$12:$Z$60,"&lt;="&amp;$Z56))</f>
        <v/>
      </c>
      <c r="AB56" s="2" t="n">
        <f aca="false">IF(AND($Y56=1,$AA56&lt;=$B$6),1,0)</f>
        <v>0</v>
      </c>
      <c r="AC56" s="2" t="n">
        <f aca="false">INDEX(WuPhaseN,45)*1000+45</f>
        <v>2045</v>
      </c>
      <c r="AD56" s="2" t="str">
        <f aca="false">IF($AB56=0,"",COUNTIFS($AB$12:$AB$60,1,$AC$12:$AC$60,"&lt;"&amp;$AC56)+1)</f>
        <v/>
      </c>
      <c r="AE56" s="2"/>
      <c r="AF56" s="2"/>
      <c r="AG56" s="2"/>
      <c r="AH56" s="2"/>
      <c r="AI56" s="2"/>
      <c r="AJ56" s="2"/>
      <c r="AK56" s="2"/>
    </row>
    <row r="57" customFormat="false" ht="24" hidden="false" customHeight="true" outlineLevel="0" collapsed="false">
      <c r="A57" s="35" t="n">
        <v>2</v>
      </c>
      <c r="B57" s="36" t="str">
        <f aca="false">IFERROR(INDEX(MoName,MATCH(2,$AK$12:$AK$54,0)),"")</f>
        <v>Downward Dog</v>
      </c>
      <c r="C57" s="36" t="str">
        <f aca="false">IF($B57="","",INDEX(MoType,MATCH(2,$AK$12:$AK$54,0)))</f>
        <v>Flow</v>
      </c>
      <c r="D57" s="36" t="str">
        <f aca="false">IF($B57="","",INDEX(MoTarget,MATCH(2,$AK$12:$AK$54,0)))</f>
        <v>Always</v>
      </c>
      <c r="E57" s="35" t="n">
        <f aca="false">IF($B57="","",INDEX(MoMin,MATCH(2,$AK$12:$AK$54,0)))</f>
        <v>2</v>
      </c>
      <c r="F57" s="37" t="str">
        <f aca="false">IF($B57="","",INDEX(MoHow,MATCH(2,$AK$12:$AK$54,0)))</f>
        <v>Press the floor away, pedal the heels. Hold 60 s, twice.</v>
      </c>
      <c r="G57" s="37"/>
      <c r="H57" s="37"/>
      <c r="I57" s="37"/>
      <c r="J57" s="37"/>
      <c r="K57" s="37"/>
      <c r="L57" s="37"/>
      <c r="M57" s="37"/>
      <c r="N57" s="2"/>
      <c r="O57" s="2"/>
      <c r="P57" s="2"/>
      <c r="Q57" s="2"/>
      <c r="R57" s="2"/>
      <c r="S57" s="2"/>
      <c r="T57" s="2"/>
      <c r="U57" s="2"/>
      <c r="V57" s="2"/>
      <c r="W57" s="2"/>
      <c r="X57" s="2"/>
      <c r="Y57" s="2" t="n">
        <f aca="false">IF(OR(INDEX(WuTrigger,46)="Always",COUNTIF($D$30:$D$51,INDEX(WuTrigger,46))&gt;0,COUNTIF($E$30:$E$51,INDEX(WuTrigger,46))&gt;0),1,0)</f>
        <v>0</v>
      </c>
      <c r="Z57" s="2" t="n">
        <f aca="false">INDEX(WuPriority,46)*1000+46</f>
        <v>7046</v>
      </c>
      <c r="AA57" s="2" t="str">
        <f aca="false">IF($Y57=0,"",SUMIFS(WuMin,$Y$12:$Y$60,1,$Z$12:$Z$60,"&lt;="&amp;$Z57))</f>
        <v/>
      </c>
      <c r="AB57" s="2" t="n">
        <f aca="false">IF(AND($Y57=1,$AA57&lt;=$B$6),1,0)</f>
        <v>0</v>
      </c>
      <c r="AC57" s="2" t="n">
        <f aca="false">INDEX(WuPhaseN,46)*1000+46</f>
        <v>3046</v>
      </c>
      <c r="AD57" s="2" t="str">
        <f aca="false">IF($AB57=0,"",COUNTIFS($AB$12:$AB$60,1,$AC$12:$AC$60,"&lt;"&amp;$AC57)+1)</f>
        <v/>
      </c>
      <c r="AE57" s="2"/>
      <c r="AF57" s="2"/>
      <c r="AG57" s="2"/>
      <c r="AH57" s="2"/>
      <c r="AI57" s="2"/>
      <c r="AJ57" s="2"/>
      <c r="AK57" s="2"/>
    </row>
    <row r="58" customFormat="false" ht="24" hidden="false" customHeight="true" outlineLevel="0" collapsed="false">
      <c r="A58" s="35" t="n">
        <v>3</v>
      </c>
      <c r="B58" s="36" t="str">
        <f aca="false">IFERROR(INDEX(MoName,MATCH(3,$AK$12:$AK$54,0)),"")</f>
        <v>Cobra to Child's Pose</v>
      </c>
      <c r="C58" s="36" t="str">
        <f aca="false">IF($B58="","",INDEX(MoType,MATCH(3,$AK$12:$AK$54,0)))</f>
        <v>Flow</v>
      </c>
      <c r="D58" s="36" t="str">
        <f aca="false">IF($B58="","",INDEX(MoTarget,MATCH(3,$AK$12:$AK$54,0)))</f>
        <v>Always</v>
      </c>
      <c r="E58" s="35" t="n">
        <f aca="false">IF($B58="","",INDEX(MoMin,MATCH(3,$AK$12:$AK$54,0)))</f>
        <v>3</v>
      </c>
      <c r="F58" s="37" t="str">
        <f aca="false">IF($B58="","",INDEX(MoHow,MATCH(3,$AK$12:$AK$54,0)))</f>
        <v>Flow between the two on the breath. 8 rounds, 5 s in each end position.</v>
      </c>
      <c r="G58" s="37"/>
      <c r="H58" s="37"/>
      <c r="I58" s="37"/>
      <c r="J58" s="37"/>
      <c r="K58" s="37"/>
      <c r="L58" s="37"/>
      <c r="M58" s="37"/>
      <c r="N58" s="2"/>
      <c r="O58" s="2"/>
      <c r="P58" s="2"/>
      <c r="Q58" s="2"/>
      <c r="R58" s="2"/>
      <c r="S58" s="2"/>
      <c r="T58" s="2"/>
      <c r="U58" s="2"/>
      <c r="V58" s="2"/>
      <c r="W58" s="2"/>
      <c r="X58" s="2"/>
      <c r="Y58" s="2" t="n">
        <f aca="false">IF(OR(INDEX(WuTrigger,47)="Always",COUNTIF($D$30:$D$51,INDEX(WuTrigger,47))&gt;0,COUNTIF($E$30:$E$51,INDEX(WuTrigger,47))&gt;0),1,0)</f>
        <v>0</v>
      </c>
      <c r="Z58" s="2" t="n">
        <f aca="false">INDEX(WuPriority,47)*1000+47</f>
        <v>8047</v>
      </c>
      <c r="AA58" s="2" t="str">
        <f aca="false">IF($Y58=0,"",SUMIFS(WuMin,$Y$12:$Y$60,1,$Z$12:$Z$60,"&lt;="&amp;$Z58))</f>
        <v/>
      </c>
      <c r="AB58" s="2" t="n">
        <f aca="false">IF(AND($Y58=1,$AA58&lt;=$B$6),1,0)</f>
        <v>0</v>
      </c>
      <c r="AC58" s="2" t="n">
        <f aca="false">INDEX(WuPhaseN,47)*1000+47</f>
        <v>3047</v>
      </c>
      <c r="AD58" s="2" t="str">
        <f aca="false">IF($AB58=0,"",COUNTIFS($AB$12:$AB$60,1,$AC$12:$AC$60,"&lt;"&amp;$AC58)+1)</f>
        <v/>
      </c>
      <c r="AE58" s="2"/>
      <c r="AF58" s="2"/>
      <c r="AG58" s="2"/>
      <c r="AH58" s="2"/>
      <c r="AI58" s="2"/>
      <c r="AJ58" s="2"/>
      <c r="AK58" s="2"/>
    </row>
    <row r="59" customFormat="false" ht="24" hidden="false" customHeight="true" outlineLevel="0" collapsed="false">
      <c r="A59" s="35" t="n">
        <v>4</v>
      </c>
      <c r="B59" s="36" t="str">
        <f aca="false">IFERROR(INDEX(MoName,MATCH(4,$AK$12:$AK$54,0)),"")</f>
        <v/>
      </c>
      <c r="C59" s="36" t="str">
        <f aca="false">IF($B59="","",INDEX(MoType,MATCH(4,$AK$12:$AK$54,0)))</f>
        <v/>
      </c>
      <c r="D59" s="36" t="str">
        <f aca="false">IF($B59="","",INDEX(MoTarget,MATCH(4,$AK$12:$AK$54,0)))</f>
        <v/>
      </c>
      <c r="E59" s="35" t="str">
        <f aca="false">IF($B59="","",INDEX(MoMin,MATCH(4,$AK$12:$AK$54,0)))</f>
        <v/>
      </c>
      <c r="F59" s="37" t="str">
        <f aca="false">IF($B59="","",INDEX(MoHow,MATCH(4,$AK$12:$AK$54,0)))</f>
        <v/>
      </c>
      <c r="G59" s="37"/>
      <c r="H59" s="37"/>
      <c r="I59" s="37"/>
      <c r="J59" s="37"/>
      <c r="K59" s="37"/>
      <c r="L59" s="37"/>
      <c r="M59" s="37"/>
      <c r="N59" s="2"/>
      <c r="O59" s="2"/>
      <c r="P59" s="2"/>
      <c r="Q59" s="2"/>
      <c r="R59" s="2"/>
      <c r="S59" s="2"/>
      <c r="T59" s="2"/>
      <c r="U59" s="2"/>
      <c r="V59" s="2"/>
      <c r="W59" s="2"/>
      <c r="X59" s="2"/>
      <c r="Y59" s="2" t="n">
        <f aca="false">IF(OR(INDEX(WuTrigger,48)="Always",COUNTIF($D$30:$D$51,INDEX(WuTrigger,48))&gt;0,COUNTIF($E$30:$E$51,INDEX(WuTrigger,48))&gt;0),1,0)</f>
        <v>0</v>
      </c>
      <c r="Z59" s="2" t="n">
        <f aca="false">INDEX(WuPriority,48)*1000+48</f>
        <v>8048</v>
      </c>
      <c r="AA59" s="2" t="str">
        <f aca="false">IF($Y59=0,"",SUMIFS(WuMin,$Y$12:$Y$60,1,$Z$12:$Z$60,"&lt;="&amp;$Z59))</f>
        <v/>
      </c>
      <c r="AB59" s="2" t="n">
        <f aca="false">IF(AND($Y59=1,$AA59&lt;=$B$6),1,0)</f>
        <v>0</v>
      </c>
      <c r="AC59" s="2" t="n">
        <f aca="false">INDEX(WuPhaseN,48)*1000+48</f>
        <v>2048</v>
      </c>
      <c r="AD59" s="2" t="str">
        <f aca="false">IF($AB59=0,"",COUNTIFS($AB$12:$AB$60,1,$AC$12:$AC$60,"&lt;"&amp;$AC59)+1)</f>
        <v/>
      </c>
      <c r="AE59" s="2"/>
      <c r="AF59" s="2"/>
      <c r="AG59" s="2"/>
      <c r="AH59" s="2"/>
      <c r="AI59" s="2"/>
      <c r="AJ59" s="2"/>
      <c r="AK59" s="2"/>
    </row>
    <row r="60" customFormat="false" ht="24" hidden="false" customHeight="true" outlineLevel="0" collapsed="false">
      <c r="A60" s="35" t="n">
        <v>5</v>
      </c>
      <c r="B60" s="36" t="str">
        <f aca="false">IFERROR(INDEX(MoName,MATCH(5,$AK$12:$AK$54,0)),"")</f>
        <v/>
      </c>
      <c r="C60" s="36" t="str">
        <f aca="false">IF($B60="","",INDEX(MoType,MATCH(5,$AK$12:$AK$54,0)))</f>
        <v/>
      </c>
      <c r="D60" s="36" t="str">
        <f aca="false">IF($B60="","",INDEX(MoTarget,MATCH(5,$AK$12:$AK$54,0)))</f>
        <v/>
      </c>
      <c r="E60" s="35" t="str">
        <f aca="false">IF($B60="","",INDEX(MoMin,MATCH(5,$AK$12:$AK$54,0)))</f>
        <v/>
      </c>
      <c r="F60" s="37" t="str">
        <f aca="false">IF($B60="","",INDEX(MoHow,MATCH(5,$AK$12:$AK$54,0)))</f>
        <v/>
      </c>
      <c r="G60" s="37"/>
      <c r="H60" s="37"/>
      <c r="I60" s="37"/>
      <c r="J60" s="37"/>
      <c r="K60" s="37"/>
      <c r="L60" s="37"/>
      <c r="M60" s="37"/>
      <c r="N60" s="2"/>
      <c r="O60" s="2"/>
      <c r="P60" s="2"/>
      <c r="Q60" s="2"/>
      <c r="R60" s="2"/>
      <c r="S60" s="2"/>
      <c r="T60" s="2"/>
      <c r="U60" s="2"/>
      <c r="V60" s="2"/>
      <c r="W60" s="2"/>
      <c r="X60" s="2"/>
      <c r="Y60" s="2" t="n">
        <f aca="false">IF(OR(INDEX(WuTrigger,49)="Always",COUNTIF($D$30:$D$51,INDEX(WuTrigger,49))&gt;0,COUNTIF($E$30:$E$51,INDEX(WuTrigger,49))&gt;0),1,0)</f>
        <v>0</v>
      </c>
      <c r="Z60" s="2" t="n">
        <f aca="false">INDEX(WuPriority,49)*1000+49</f>
        <v>8049</v>
      </c>
      <c r="AA60" s="2" t="str">
        <f aca="false">IF($Y60=0,"",SUMIFS(WuMin,$Y$12:$Y$60,1,$Z$12:$Z$60,"&lt;="&amp;$Z60))</f>
        <v/>
      </c>
      <c r="AB60" s="2" t="n">
        <f aca="false">IF(AND($Y60=1,$AA60&lt;=$B$6),1,0)</f>
        <v>0</v>
      </c>
      <c r="AC60" s="2" t="n">
        <f aca="false">INDEX(WuPhaseN,49)*1000+49</f>
        <v>2049</v>
      </c>
      <c r="AD60" s="2" t="str">
        <f aca="false">IF($AB60=0,"",COUNTIFS($AB$12:$AB$60,1,$AC$12:$AC$60,"&lt;"&amp;$AC60)+1)</f>
        <v/>
      </c>
      <c r="AE60" s="2"/>
      <c r="AF60" s="2"/>
      <c r="AG60" s="2"/>
      <c r="AH60" s="2"/>
      <c r="AI60" s="2"/>
      <c r="AJ60" s="2"/>
      <c r="AK60" s="2"/>
    </row>
    <row r="61" customFormat="false" ht="24" hidden="false" customHeight="true" outlineLevel="0" collapsed="false">
      <c r="A61" s="35" t="n">
        <v>6</v>
      </c>
      <c r="B61" s="36" t="str">
        <f aca="false">IFERROR(INDEX(MoName,MATCH(6,$AK$12:$AK$54,0)),"")</f>
        <v/>
      </c>
      <c r="C61" s="36" t="str">
        <f aca="false">IF($B61="","",INDEX(MoType,MATCH(6,$AK$12:$AK$54,0)))</f>
        <v/>
      </c>
      <c r="D61" s="36" t="str">
        <f aca="false">IF($B61="","",INDEX(MoTarget,MATCH(6,$AK$12:$AK$54,0)))</f>
        <v/>
      </c>
      <c r="E61" s="35" t="str">
        <f aca="false">IF($B61="","",INDEX(MoMin,MATCH(6,$AK$12:$AK$54,0)))</f>
        <v/>
      </c>
      <c r="F61" s="37" t="str">
        <f aca="false">IF($B61="","",INDEX(MoHow,MATCH(6,$AK$12:$AK$54,0)))</f>
        <v/>
      </c>
      <c r="G61" s="37"/>
      <c r="H61" s="37"/>
      <c r="I61" s="37"/>
      <c r="J61" s="37"/>
      <c r="K61" s="37"/>
      <c r="L61" s="37"/>
      <c r="M61" s="37"/>
      <c r="N61" s="2"/>
      <c r="O61" s="2"/>
      <c r="P61" s="2"/>
      <c r="Q61" s="2"/>
      <c r="R61" s="2"/>
      <c r="S61" s="2"/>
      <c r="T61" s="2"/>
      <c r="U61" s="2"/>
      <c r="V61" s="2"/>
      <c r="W61" s="2"/>
      <c r="X61" s="2"/>
      <c r="Y61" s="2"/>
      <c r="Z61" s="2"/>
      <c r="AA61" s="2"/>
      <c r="AB61" s="2"/>
      <c r="AC61" s="2"/>
      <c r="AD61" s="2"/>
      <c r="AE61" s="2"/>
      <c r="AF61" s="2"/>
      <c r="AG61" s="2"/>
      <c r="AH61" s="2"/>
      <c r="AI61" s="2"/>
      <c r="AJ61" s="2"/>
      <c r="AK61" s="2"/>
    </row>
    <row r="62" customFormat="false" ht="24" hidden="false" customHeight="true" outlineLevel="0" collapsed="false">
      <c r="A62" s="35" t="n">
        <v>7</v>
      </c>
      <c r="B62" s="36" t="str">
        <f aca="false">IFERROR(INDEX(MoName,MATCH(7,$AK$12:$AK$54,0)),"")</f>
        <v/>
      </c>
      <c r="C62" s="36" t="str">
        <f aca="false">IF($B62="","",INDEX(MoType,MATCH(7,$AK$12:$AK$54,0)))</f>
        <v/>
      </c>
      <c r="D62" s="36" t="str">
        <f aca="false">IF($B62="","",INDEX(MoTarget,MATCH(7,$AK$12:$AK$54,0)))</f>
        <v/>
      </c>
      <c r="E62" s="35" t="str">
        <f aca="false">IF($B62="","",INDEX(MoMin,MATCH(7,$AK$12:$AK$54,0)))</f>
        <v/>
      </c>
      <c r="F62" s="37" t="str">
        <f aca="false">IF($B62="","",INDEX(MoHow,MATCH(7,$AK$12:$AK$54,0)))</f>
        <v/>
      </c>
      <c r="G62" s="37"/>
      <c r="H62" s="37"/>
      <c r="I62" s="37"/>
      <c r="J62" s="37"/>
      <c r="K62" s="37"/>
      <c r="L62" s="37"/>
      <c r="M62" s="37"/>
      <c r="N62" s="2"/>
      <c r="O62" s="2"/>
      <c r="P62" s="2"/>
      <c r="Q62" s="2"/>
      <c r="R62" s="2"/>
      <c r="S62" s="2"/>
      <c r="T62" s="2"/>
      <c r="U62" s="2"/>
      <c r="V62" s="2"/>
      <c r="W62" s="2"/>
      <c r="X62" s="2"/>
      <c r="Y62" s="2"/>
      <c r="Z62" s="2"/>
      <c r="AA62" s="2"/>
      <c r="AB62" s="2"/>
      <c r="AC62" s="2"/>
      <c r="AD62" s="2"/>
      <c r="AE62" s="2"/>
      <c r="AF62" s="2"/>
      <c r="AG62" s="2"/>
      <c r="AH62" s="2"/>
      <c r="AI62" s="2"/>
      <c r="AJ62" s="2"/>
      <c r="AK62" s="2"/>
    </row>
    <row r="63" customFormat="false" ht="24" hidden="false" customHeight="true" outlineLevel="0" collapsed="false">
      <c r="A63" s="35" t="n">
        <v>8</v>
      </c>
      <c r="B63" s="36" t="str">
        <f aca="false">IFERROR(INDEX(MoName,MATCH(8,$AK$12:$AK$54,0)),"")</f>
        <v/>
      </c>
      <c r="C63" s="36" t="str">
        <f aca="false">IF($B63="","",INDEX(MoType,MATCH(8,$AK$12:$AK$54,0)))</f>
        <v/>
      </c>
      <c r="D63" s="36" t="str">
        <f aca="false">IF($B63="","",INDEX(MoTarget,MATCH(8,$AK$12:$AK$54,0)))</f>
        <v/>
      </c>
      <c r="E63" s="35" t="str">
        <f aca="false">IF($B63="","",INDEX(MoMin,MATCH(8,$AK$12:$AK$54,0)))</f>
        <v/>
      </c>
      <c r="F63" s="37" t="str">
        <f aca="false">IF($B63="","",INDEX(MoHow,MATCH(8,$AK$12:$AK$54,0)))</f>
        <v/>
      </c>
      <c r="G63" s="37"/>
      <c r="H63" s="37"/>
      <c r="I63" s="37"/>
      <c r="J63" s="37"/>
      <c r="K63" s="37"/>
      <c r="L63" s="37"/>
      <c r="M63" s="37"/>
      <c r="N63" s="2"/>
      <c r="O63" s="2"/>
      <c r="P63" s="2"/>
      <c r="Q63" s="2"/>
      <c r="R63" s="2"/>
      <c r="S63" s="2"/>
      <c r="T63" s="2"/>
      <c r="U63" s="2"/>
      <c r="V63" s="2"/>
      <c r="W63" s="2"/>
      <c r="X63" s="2"/>
      <c r="Y63" s="2"/>
      <c r="Z63" s="2"/>
      <c r="AA63" s="2"/>
      <c r="AB63" s="2"/>
      <c r="AC63" s="2"/>
      <c r="AD63" s="2"/>
      <c r="AE63" s="2"/>
      <c r="AF63" s="2"/>
      <c r="AG63" s="2"/>
      <c r="AH63" s="2"/>
      <c r="AI63" s="2"/>
      <c r="AJ63" s="2"/>
      <c r="AK63" s="2"/>
    </row>
    <row r="64" customFormat="false" ht="24" hidden="false" customHeight="true" outlineLevel="0" collapsed="false">
      <c r="A64" s="35" t="n">
        <v>9</v>
      </c>
      <c r="B64" s="36" t="str">
        <f aca="false">IFERROR(INDEX(MoName,MATCH(9,$AK$12:$AK$54,0)),"")</f>
        <v/>
      </c>
      <c r="C64" s="36" t="str">
        <f aca="false">IF($B64="","",INDEX(MoType,MATCH(9,$AK$12:$AK$54,0)))</f>
        <v/>
      </c>
      <c r="D64" s="36" t="str">
        <f aca="false">IF($B64="","",INDEX(MoTarget,MATCH(9,$AK$12:$AK$54,0)))</f>
        <v/>
      </c>
      <c r="E64" s="35" t="str">
        <f aca="false">IF($B64="","",INDEX(MoMin,MATCH(9,$AK$12:$AK$54,0)))</f>
        <v/>
      </c>
      <c r="F64" s="37" t="str">
        <f aca="false">IF($B64="","",INDEX(MoHow,MATCH(9,$AK$12:$AK$54,0)))</f>
        <v/>
      </c>
      <c r="G64" s="37"/>
      <c r="H64" s="37"/>
      <c r="I64" s="37"/>
      <c r="J64" s="37"/>
      <c r="K64" s="37"/>
      <c r="L64" s="37"/>
      <c r="M64" s="37"/>
      <c r="N64" s="2"/>
      <c r="O64" s="2"/>
      <c r="P64" s="2"/>
      <c r="Q64" s="2"/>
      <c r="R64" s="2"/>
      <c r="S64" s="2"/>
      <c r="T64" s="2"/>
      <c r="U64" s="2"/>
      <c r="V64" s="2"/>
      <c r="W64" s="2"/>
      <c r="X64" s="2"/>
      <c r="Y64" s="2"/>
      <c r="Z64" s="2"/>
      <c r="AA64" s="2"/>
      <c r="AB64" s="2"/>
      <c r="AC64" s="2"/>
      <c r="AD64" s="2"/>
      <c r="AE64" s="2"/>
      <c r="AF64" s="2"/>
      <c r="AG64" s="2"/>
      <c r="AH64" s="2"/>
      <c r="AI64" s="2"/>
      <c r="AJ64" s="2"/>
      <c r="AK64" s="2"/>
    </row>
    <row r="65" customFormat="false" ht="24" hidden="false" customHeight="true" outlineLevel="0" collapsed="false">
      <c r="A65" s="35" t="n">
        <v>10</v>
      </c>
      <c r="B65" s="36" t="str">
        <f aca="false">IFERROR(INDEX(MoName,MATCH(10,$AK$12:$AK$54,0)),"")</f>
        <v/>
      </c>
      <c r="C65" s="36" t="str">
        <f aca="false">IF($B65="","",INDEX(MoType,MATCH(10,$AK$12:$AK$54,0)))</f>
        <v/>
      </c>
      <c r="D65" s="36" t="str">
        <f aca="false">IF($B65="","",INDEX(MoTarget,MATCH(10,$AK$12:$AK$54,0)))</f>
        <v/>
      </c>
      <c r="E65" s="35" t="str">
        <f aca="false">IF($B65="","",INDEX(MoMin,MATCH(10,$AK$12:$AK$54,0)))</f>
        <v/>
      </c>
      <c r="F65" s="37" t="str">
        <f aca="false">IF($B65="","",INDEX(MoHow,MATCH(10,$AK$12:$AK$54,0)))</f>
        <v/>
      </c>
      <c r="G65" s="37"/>
      <c r="H65" s="37"/>
      <c r="I65" s="37"/>
      <c r="J65" s="37"/>
      <c r="K65" s="37"/>
      <c r="L65" s="37"/>
      <c r="M65" s="37"/>
      <c r="N65" s="2"/>
      <c r="O65" s="2"/>
      <c r="P65" s="2"/>
      <c r="Q65" s="2"/>
      <c r="R65" s="2"/>
      <c r="S65" s="2"/>
      <c r="T65" s="2"/>
      <c r="U65" s="2"/>
      <c r="V65" s="2"/>
      <c r="W65" s="2"/>
      <c r="X65" s="2"/>
      <c r="Y65" s="2"/>
      <c r="Z65" s="2"/>
      <c r="AA65" s="2"/>
      <c r="AB65" s="2"/>
      <c r="AC65" s="2"/>
      <c r="AD65" s="2"/>
      <c r="AE65" s="2"/>
      <c r="AF65" s="2"/>
      <c r="AG65" s="2"/>
      <c r="AH65" s="2"/>
      <c r="AI65" s="2"/>
      <c r="AJ65" s="2"/>
      <c r="AK65" s="2"/>
    </row>
    <row r="66" customFormat="false" ht="15" hidden="false" customHeight="false" outlineLevel="0" collapsed="false">
      <c r="A66" s="38" t="s">
        <v>1039</v>
      </c>
      <c r="B66" s="39"/>
      <c r="C66" s="39"/>
      <c r="D66" s="39"/>
      <c r="E66" s="40" t="n">
        <f aca="false">SUMIFS(MoMin,$AI$12:$AI$54,1)</f>
        <v>7</v>
      </c>
      <c r="F66" s="39"/>
      <c r="G66" s="39"/>
      <c r="H66" s="39"/>
      <c r="I66" s="39"/>
      <c r="J66" s="39"/>
      <c r="K66" s="39"/>
      <c r="L66" s="39"/>
      <c r="M66" s="39"/>
      <c r="N66" s="2"/>
      <c r="O66" s="2"/>
      <c r="P66" s="2"/>
      <c r="Q66" s="2"/>
      <c r="R66" s="2"/>
      <c r="S66" s="2"/>
      <c r="T66" s="2"/>
      <c r="U66" s="2"/>
      <c r="V66" s="2"/>
      <c r="W66" s="2"/>
      <c r="X66" s="2"/>
      <c r="Y66" s="2"/>
      <c r="Z66" s="2"/>
      <c r="AA66" s="2"/>
      <c r="AB66" s="2"/>
      <c r="AC66" s="2"/>
      <c r="AD66" s="2"/>
      <c r="AE66" s="2"/>
      <c r="AF66" s="2"/>
      <c r="AG66" s="2"/>
      <c r="AH66" s="2"/>
      <c r="AI66" s="2"/>
      <c r="AJ66" s="2"/>
      <c r="AK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customFormat="false" ht="19.5" hidden="false" customHeight="true" outlineLevel="0" collapsed="false">
      <c r="A68" s="33" t="s">
        <v>1040</v>
      </c>
      <c r="B68" s="33"/>
      <c r="C68" s="33"/>
      <c r="D68" s="33"/>
      <c r="E68" s="33"/>
      <c r="F68" s="33"/>
      <c r="G68" s="33"/>
      <c r="H68" s="33"/>
      <c r="I68" s="33"/>
      <c r="J68" s="33"/>
      <c r="K68" s="33"/>
      <c r="L68" s="33"/>
      <c r="M68" s="33"/>
      <c r="N68" s="33"/>
      <c r="O68" s="33"/>
      <c r="P68" s="33"/>
      <c r="Q68" s="2"/>
      <c r="R68" s="2"/>
      <c r="S68" s="2"/>
      <c r="T68" s="2"/>
      <c r="U68" s="2"/>
      <c r="V68" s="2"/>
      <c r="W68" s="2"/>
      <c r="X68" s="2"/>
      <c r="Y68" s="2"/>
      <c r="Z68" s="2"/>
      <c r="AA68" s="2"/>
      <c r="AB68" s="2"/>
      <c r="AC68" s="2"/>
      <c r="AD68" s="2"/>
      <c r="AE68" s="2"/>
      <c r="AF68" s="2"/>
      <c r="AG68" s="2"/>
      <c r="AH68" s="2"/>
      <c r="AI68" s="2"/>
      <c r="AJ68" s="2"/>
      <c r="AK68" s="2"/>
    </row>
    <row r="69" customFormat="false" ht="15" hidden="false" customHeight="false" outlineLevel="0" collapsed="false">
      <c r="A69" s="14" t="s">
        <v>1041</v>
      </c>
      <c r="B69" s="48" t="n">
        <f aca="false">$E$26</f>
        <v>14</v>
      </c>
      <c r="C69" s="2"/>
      <c r="D69" s="8" t="s">
        <v>1042</v>
      </c>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customFormat="false" ht="15" hidden="false" customHeight="false" outlineLevel="0" collapsed="false">
      <c r="A70" s="14" t="s">
        <v>1043</v>
      </c>
      <c r="B70" s="48" t="n">
        <f aca="false">$P$52</f>
        <v>0</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customFormat="false" ht="15" hidden="false" customHeight="false" outlineLevel="0" collapsed="false">
      <c r="A71" s="14" t="s">
        <v>23</v>
      </c>
      <c r="B71" s="48" t="n">
        <f aca="false">$E$66</f>
        <v>7</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customFormat="false" ht="15" hidden="false" customHeight="false" outlineLevel="0" collapsed="false">
      <c r="A72" s="49" t="s">
        <v>1044</v>
      </c>
      <c r="B72" s="40" t="n">
        <f aca="false">SUM($B$69:$B$71)</f>
        <v>21</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customFormat="false" ht="15" hidden="false" customHeight="false" outlineLevel="0" collapsed="false">
      <c r="A73" s="49" t="s">
        <v>1045</v>
      </c>
      <c r="B73" s="40" t="str">
        <f aca="false">TEXT($B$72/1440,"h:mm")</f>
        <v>0:21</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customFormat="false" ht="19.5" hidden="false" customHeight="true" outlineLevel="0" collapsed="false">
      <c r="A75" s="33" t="s">
        <v>1046</v>
      </c>
      <c r="B75" s="33"/>
      <c r="C75" s="33"/>
      <c r="D75" s="33"/>
      <c r="E75" s="33"/>
      <c r="F75" s="33"/>
      <c r="G75" s="33"/>
      <c r="H75" s="33"/>
      <c r="I75" s="33"/>
      <c r="J75" s="33"/>
      <c r="K75" s="33"/>
      <c r="L75" s="33"/>
      <c r="M75" s="33"/>
      <c r="N75" s="33"/>
      <c r="O75" s="33"/>
      <c r="P75" s="33"/>
      <c r="Q75" s="2"/>
      <c r="R75" s="2"/>
      <c r="S75" s="2"/>
      <c r="T75" s="2"/>
      <c r="U75" s="2"/>
      <c r="V75" s="2"/>
      <c r="W75" s="2"/>
      <c r="X75" s="2"/>
      <c r="Y75" s="2"/>
      <c r="Z75" s="2"/>
      <c r="AA75" s="2"/>
      <c r="AB75" s="2"/>
      <c r="AC75" s="2"/>
      <c r="AD75" s="2"/>
      <c r="AE75" s="2"/>
      <c r="AF75" s="2"/>
      <c r="AG75" s="2"/>
      <c r="AH75" s="2"/>
      <c r="AI75" s="2"/>
      <c r="AJ75" s="2"/>
      <c r="AK75" s="2"/>
    </row>
    <row r="76" customFormat="false" ht="15" hidden="false" customHeight="false" outlineLevel="0" collapsed="false">
      <c r="A76" s="50" t="s">
        <v>56</v>
      </c>
      <c r="B76" s="50" t="s">
        <v>1047</v>
      </c>
      <c r="C76" s="2"/>
      <c r="D76" s="50" t="s">
        <v>55</v>
      </c>
      <c r="E76" s="50" t="s">
        <v>1047</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customFormat="false" ht="15" hidden="false" customHeight="false" outlineLevel="0" collapsed="false">
      <c r="A77" s="14" t="s">
        <v>215</v>
      </c>
      <c r="B77" s="48" t="n">
        <f aca="false">COUNTIF($E$30:$E$51,$A77)</f>
        <v>0</v>
      </c>
      <c r="C77" s="2"/>
      <c r="D77" s="14" t="s">
        <v>64</v>
      </c>
      <c r="E77" s="48" t="n">
        <f aca="false">COUNTIF($D$30:$D$51,$D77)</f>
        <v>0</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customFormat="false" ht="15" hidden="false" customHeight="false" outlineLevel="0" collapsed="false">
      <c r="A78" s="14" t="s">
        <v>142</v>
      </c>
      <c r="B78" s="48" t="n">
        <f aca="false">COUNTIF($E$30:$E$51,$A78)</f>
        <v>0</v>
      </c>
      <c r="C78" s="2"/>
      <c r="D78" s="14" t="s">
        <v>122</v>
      </c>
      <c r="E78" s="48" t="n">
        <f aca="false">COUNTIF($D$30:$D$51,$D78)</f>
        <v>0</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customFormat="false" ht="15" hidden="false" customHeight="false" outlineLevel="0" collapsed="false">
      <c r="A79" s="14" t="s">
        <v>264</v>
      </c>
      <c r="B79" s="48" t="n">
        <f aca="false">COUNTIF($E$30:$E$51,$A79)</f>
        <v>0</v>
      </c>
      <c r="C79" s="2"/>
      <c r="D79" s="14" t="s">
        <v>185</v>
      </c>
      <c r="E79" s="48" t="n">
        <f aca="false">COUNTIF($D$30:$D$51,$D79)</f>
        <v>0</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customFormat="false" ht="15" hidden="false" customHeight="false" outlineLevel="0" collapsed="false">
      <c r="A80" s="14" t="s">
        <v>410</v>
      </c>
      <c r="B80" s="48" t="n">
        <f aca="false">COUNTIF($E$30:$E$51,$A80)</f>
        <v>0</v>
      </c>
      <c r="C80" s="2"/>
      <c r="D80" s="14" t="s">
        <v>214</v>
      </c>
      <c r="E80" s="48" t="n">
        <f aca="false">COUNTIF($D$30:$D$51,$D80)</f>
        <v>0</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customFormat="false" ht="15" hidden="false" customHeight="false" outlineLevel="0" collapsed="false">
      <c r="A81" s="14" t="s">
        <v>364</v>
      </c>
      <c r="B81" s="48" t="n">
        <f aca="false">COUNTIF($E$30:$E$51,$A81)</f>
        <v>0</v>
      </c>
      <c r="C81" s="2"/>
      <c r="D81" s="14" t="s">
        <v>278</v>
      </c>
      <c r="E81" s="48" t="n">
        <f aca="false">COUNTIF($D$30:$D$51,$D81)</f>
        <v>0</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customFormat="false" ht="15" hidden="false" customHeight="false" outlineLevel="0" collapsed="false">
      <c r="A82" s="14" t="s">
        <v>224</v>
      </c>
      <c r="B82" s="48" t="n">
        <f aca="false">COUNTIF($E$30:$E$51,$A82)</f>
        <v>0</v>
      </c>
      <c r="C82" s="2"/>
      <c r="D82" s="14" t="s">
        <v>316</v>
      </c>
      <c r="E82" s="48" t="n">
        <f aca="false">COUNTIF($D$30:$D$51,$D82)</f>
        <v>0</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customFormat="false" ht="15" hidden="false" customHeight="false" outlineLevel="0" collapsed="false">
      <c r="A83" s="14" t="s">
        <v>554</v>
      </c>
      <c r="B83" s="48" t="n">
        <f aca="false">COUNTIF($E$30:$E$51,$A83)</f>
        <v>0</v>
      </c>
      <c r="C83" s="2"/>
      <c r="D83" s="14" t="s">
        <v>360</v>
      </c>
      <c r="E83" s="48" t="n">
        <f aca="false">COUNTIF($D$30:$D$51,$D83)</f>
        <v>0</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customFormat="false" ht="15" hidden="false" customHeight="false" outlineLevel="0" collapsed="false">
      <c r="A84" s="14" t="s">
        <v>65</v>
      </c>
      <c r="B84" s="48" t="n">
        <f aca="false">COUNTIF($E$30:$E$51,$A84)</f>
        <v>0</v>
      </c>
      <c r="C84" s="2"/>
      <c r="D84" s="14" t="s">
        <v>167</v>
      </c>
      <c r="E84" s="48" t="n">
        <f aca="false">COUNTIF($D$30:$D$51,$D84)</f>
        <v>0</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customFormat="false" ht="15" hidden="false" customHeight="false" outlineLevel="0" collapsed="false">
      <c r="A85" s="14" t="s">
        <v>123</v>
      </c>
      <c r="B85" s="48" t="n">
        <f aca="false">COUNTIF($E$30:$E$51,$A85)</f>
        <v>0</v>
      </c>
      <c r="C85" s="2"/>
      <c r="D85" s="14" t="s">
        <v>435</v>
      </c>
      <c r="E85" s="48" t="n">
        <f aca="false">COUNTIF($D$30:$D$51,$D85)</f>
        <v>0</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customFormat="false" ht="15" hidden="false" customHeight="false" outlineLevel="0" collapsed="false">
      <c r="A86" s="14" t="s">
        <v>101</v>
      </c>
      <c r="B86" s="48" t="n">
        <f aca="false">COUNTIF($E$30:$E$51,$A86)</f>
        <v>0</v>
      </c>
      <c r="C86" s="2"/>
      <c r="D86" s="14" t="s">
        <v>473</v>
      </c>
      <c r="E86" s="48" t="n">
        <f aca="false">COUNTIF($D$30:$D$51,$D86)</f>
        <v>0</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customFormat="false" ht="15" hidden="false" customHeight="false" outlineLevel="0" collapsed="false">
      <c r="A87" s="14" t="s">
        <v>202</v>
      </c>
      <c r="B87" s="48" t="n">
        <f aca="false">COUNTIF($E$30:$E$51,$A87)</f>
        <v>0</v>
      </c>
      <c r="C87" s="2"/>
      <c r="D87" s="14" t="s">
        <v>527</v>
      </c>
      <c r="E87" s="48" t="n">
        <f aca="false">COUNTIF($D$30:$D$51,$D87)</f>
        <v>0</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customFormat="false" ht="15" hidden="false" customHeight="false" outlineLevel="0" collapsed="false">
      <c r="A88" s="14" t="s">
        <v>459</v>
      </c>
      <c r="B88" s="48" t="n">
        <f aca="false">COUNTIF($E$30:$E$51,$A88)</f>
        <v>0</v>
      </c>
      <c r="C88" s="2"/>
      <c r="D88" s="14" t="s">
        <v>174</v>
      </c>
      <c r="E88" s="48" t="n">
        <f aca="false">COUNTIF($D$30:$D$51,$D88)</f>
        <v>0</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customFormat="false" ht="15" hidden="false" customHeight="false" outlineLevel="0" collapsed="false">
      <c r="A89" s="14" t="s">
        <v>118</v>
      </c>
      <c r="B89" s="48" t="n">
        <f aca="false">COUNTIF($E$30:$E$51,$A89)</f>
        <v>0</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customFormat="false" ht="15" hidden="false" customHeight="false" outlineLevel="0" collapsed="false">
      <c r="A90" s="14" t="s">
        <v>390</v>
      </c>
      <c r="B90" s="48" t="n">
        <f aca="false">COUNTIF($E$30:$E$51,$A90)</f>
        <v>0</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sheetData>
  <mergeCells count="24">
    <mergeCell ref="F12:M12"/>
    <mergeCell ref="F13:M13"/>
    <mergeCell ref="F14:M14"/>
    <mergeCell ref="F15:M15"/>
    <mergeCell ref="F16:M16"/>
    <mergeCell ref="F17:M17"/>
    <mergeCell ref="F18:M18"/>
    <mergeCell ref="F19:M19"/>
    <mergeCell ref="F20:M20"/>
    <mergeCell ref="F21:M21"/>
    <mergeCell ref="F22:M22"/>
    <mergeCell ref="F23:M23"/>
    <mergeCell ref="F24:M24"/>
    <mergeCell ref="F25:M25"/>
    <mergeCell ref="F56:M56"/>
    <mergeCell ref="F57:M57"/>
    <mergeCell ref="F58:M58"/>
    <mergeCell ref="F59:M59"/>
    <mergeCell ref="F60:M60"/>
    <mergeCell ref="F61:M61"/>
    <mergeCell ref="F62:M62"/>
    <mergeCell ref="F63:M63"/>
    <mergeCell ref="F64:M64"/>
    <mergeCell ref="F65:M65"/>
  </mergeCells>
  <dataValidations count="4">
    <dataValidation allowBlank="false" errorStyle="stop" operator="between" showDropDown="false" showErrorMessage="false" showInputMessage="false" sqref="B5" type="list">
      <formula1>"Explosivity,Strength,Muscular endurance"</formula1>
      <formula2>0</formula2>
    </dataValidation>
    <dataValidation allowBlank="false" errorStyle="stop" operator="between" showDropDown="false" showErrorMessage="false" showInputMessage="false" sqref="B6" type="list">
      <formula1>"0,5,8,10,12,15,20,25,30"</formula1>
      <formula2>0</formula2>
    </dataValidation>
    <dataValidation allowBlank="false" errorStyle="stop" operator="between" showDropDown="false" showErrorMessage="false" showInputMessage="false" sqref="B7" type="list">
      <formula1>"0,5,8,10,12,15,20"</formula1>
      <formula2>0</formula2>
    </dataValidation>
    <dataValidation allowBlank="true" errorStyle="stop" operator="between" showDropDown="false" showErrorMessage="false" showInputMessage="false" sqref="B30:B51" type="list">
      <formula1>ExPick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26"/>
    <col collapsed="false" customWidth="true" hidden="false" outlineLevel="0" max="4" min="4" style="0" width="7"/>
    <col collapsed="false" customWidth="true" hidden="false" outlineLevel="0" max="5" min="5" style="0" width="12"/>
    <col collapsed="false" customWidth="true" hidden="false" outlineLevel="0" max="6" min="6" style="0" width="8"/>
    <col collapsed="false" customWidth="true" hidden="false" outlineLevel="0" max="7" min="7" style="0" width="7"/>
    <col collapsed="false" customWidth="true" hidden="false" outlineLevel="0" max="8" min="8" style="0" width="12"/>
    <col collapsed="false" customWidth="true" hidden="false" outlineLevel="0" max="9" min="9" style="0" width="14"/>
    <col collapsed="false" customWidth="true" hidden="false" outlineLevel="0" max="10" min="10" style="0" width="34"/>
  </cols>
  <sheetData>
    <row r="1" customFormat="false" ht="24" hidden="false" customHeight="true" outlineLevel="0" collapsed="false">
      <c r="A1" s="1" t="s">
        <v>12</v>
      </c>
      <c r="B1" s="2"/>
      <c r="C1" s="2"/>
      <c r="D1" s="2"/>
      <c r="E1" s="2"/>
      <c r="F1" s="2"/>
      <c r="G1" s="2"/>
      <c r="H1" s="2"/>
      <c r="I1" s="2"/>
      <c r="J1" s="2"/>
    </row>
    <row r="2" customFormat="false" ht="15" hidden="false" customHeight="false" outlineLevel="0" collapsed="false">
      <c r="A2" s="8" t="s">
        <v>1050</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31.5" hidden="false" customHeight="true" outlineLevel="0" collapsed="false">
      <c r="A4" s="9" t="s">
        <v>1017</v>
      </c>
      <c r="B4" s="9" t="s">
        <v>1051</v>
      </c>
      <c r="C4" s="9" t="s">
        <v>52</v>
      </c>
      <c r="D4" s="9" t="s">
        <v>1052</v>
      </c>
      <c r="E4" s="9" t="s">
        <v>1053</v>
      </c>
      <c r="F4" s="9" t="s">
        <v>928</v>
      </c>
      <c r="G4" s="9" t="s">
        <v>1054</v>
      </c>
      <c r="H4" s="9" t="s">
        <v>1055</v>
      </c>
      <c r="I4" s="9" t="s">
        <v>1056</v>
      </c>
      <c r="J4" s="9" t="s">
        <v>1057</v>
      </c>
    </row>
    <row r="5" customFormat="false" ht="15" hidden="false" customHeight="false" outlineLevel="0" collapsed="false">
      <c r="A5" s="51" t="n">
        <v>46238</v>
      </c>
      <c r="B5" s="52" t="s">
        <v>1058</v>
      </c>
      <c r="C5" s="52" t="s">
        <v>61</v>
      </c>
      <c r="D5" s="32" t="n">
        <v>1</v>
      </c>
      <c r="E5" s="13" t="n">
        <v>85</v>
      </c>
      <c r="F5" s="32" t="n">
        <v>5</v>
      </c>
      <c r="G5" s="32" t="n">
        <v>8</v>
      </c>
      <c r="H5" s="53" t="n">
        <f aca="false">IF(OR($E5="",$F5=""),"",$E5*$F5)</f>
        <v>425</v>
      </c>
      <c r="I5" s="53" t="n">
        <f aca="false">IF(OR($E5="",$F5=""),"",$E5*(1+$F5/30))</f>
        <v>99.1666666666667</v>
      </c>
      <c r="J5" s="52" t="s">
        <v>1059</v>
      </c>
    </row>
    <row r="6" customFormat="false" ht="15" hidden="false" customHeight="false" outlineLevel="0" collapsed="false">
      <c r="A6" s="51"/>
      <c r="B6" s="52"/>
      <c r="C6" s="52"/>
      <c r="D6" s="32"/>
      <c r="E6" s="13"/>
      <c r="F6" s="32"/>
      <c r="G6" s="32"/>
      <c r="H6" s="53" t="str">
        <f aca="false">IF(OR($E6="",$F6=""),"",$E6*$F6)</f>
        <v/>
      </c>
      <c r="I6" s="53" t="str">
        <f aca="false">IF(OR($E6="",$F6=""),"",$E6*(1+$F6/30))</f>
        <v/>
      </c>
      <c r="J6" s="52"/>
    </row>
    <row r="7" customFormat="false" ht="15" hidden="false" customHeight="false" outlineLevel="0" collapsed="false">
      <c r="A7" s="51"/>
      <c r="B7" s="52"/>
      <c r="C7" s="52"/>
      <c r="D7" s="32"/>
      <c r="E7" s="13"/>
      <c r="F7" s="32"/>
      <c r="G7" s="32"/>
      <c r="H7" s="53" t="str">
        <f aca="false">IF(OR($E7="",$F7=""),"",$E7*$F7)</f>
        <v/>
      </c>
      <c r="I7" s="53" t="str">
        <f aca="false">IF(OR($E7="",$F7=""),"",$E7*(1+$F7/30))</f>
        <v/>
      </c>
      <c r="J7" s="52"/>
    </row>
    <row r="8" customFormat="false" ht="15" hidden="false" customHeight="false" outlineLevel="0" collapsed="false">
      <c r="A8" s="51"/>
      <c r="B8" s="52"/>
      <c r="C8" s="52"/>
      <c r="D8" s="32"/>
      <c r="E8" s="13"/>
      <c r="F8" s="32"/>
      <c r="G8" s="32"/>
      <c r="H8" s="53" t="str">
        <f aca="false">IF(OR($E8="",$F8=""),"",$E8*$F8)</f>
        <v/>
      </c>
      <c r="I8" s="53" t="str">
        <f aca="false">IF(OR($E8="",$F8=""),"",$E8*(1+$F8/30))</f>
        <v/>
      </c>
      <c r="J8" s="52"/>
    </row>
    <row r="9" customFormat="false" ht="15" hidden="false" customHeight="false" outlineLevel="0" collapsed="false">
      <c r="A9" s="51"/>
      <c r="B9" s="52"/>
      <c r="C9" s="52"/>
      <c r="D9" s="32"/>
      <c r="E9" s="13"/>
      <c r="F9" s="32"/>
      <c r="G9" s="32"/>
      <c r="H9" s="53" t="str">
        <f aca="false">IF(OR($E9="",$F9=""),"",$E9*$F9)</f>
        <v/>
      </c>
      <c r="I9" s="53" t="str">
        <f aca="false">IF(OR($E9="",$F9=""),"",$E9*(1+$F9/30))</f>
        <v/>
      </c>
      <c r="J9" s="52"/>
    </row>
    <row r="10" customFormat="false" ht="15" hidden="false" customHeight="false" outlineLevel="0" collapsed="false">
      <c r="A10" s="51"/>
      <c r="B10" s="52"/>
      <c r="C10" s="52"/>
      <c r="D10" s="32"/>
      <c r="E10" s="13"/>
      <c r="F10" s="32"/>
      <c r="G10" s="32"/>
      <c r="H10" s="53" t="str">
        <f aca="false">IF(OR($E10="",$F10=""),"",$E10*$F10)</f>
        <v/>
      </c>
      <c r="I10" s="53" t="str">
        <f aca="false">IF(OR($E10="",$F10=""),"",$E10*(1+$F10/30))</f>
        <v/>
      </c>
      <c r="J10" s="52"/>
    </row>
    <row r="11" customFormat="false" ht="15" hidden="false" customHeight="false" outlineLevel="0" collapsed="false">
      <c r="A11" s="51"/>
      <c r="B11" s="52"/>
      <c r="C11" s="52"/>
      <c r="D11" s="32"/>
      <c r="E11" s="13"/>
      <c r="F11" s="32"/>
      <c r="G11" s="32"/>
      <c r="H11" s="53" t="str">
        <f aca="false">IF(OR($E11="",$F11=""),"",$E11*$F11)</f>
        <v/>
      </c>
      <c r="I11" s="53" t="str">
        <f aca="false">IF(OR($E11="",$F11=""),"",$E11*(1+$F11/30))</f>
        <v/>
      </c>
      <c r="J11" s="52"/>
    </row>
    <row r="12" customFormat="false" ht="15" hidden="false" customHeight="false" outlineLevel="0" collapsed="false">
      <c r="A12" s="51"/>
      <c r="B12" s="52"/>
      <c r="C12" s="52"/>
      <c r="D12" s="32"/>
      <c r="E12" s="13"/>
      <c r="F12" s="32"/>
      <c r="G12" s="32"/>
      <c r="H12" s="53" t="str">
        <f aca="false">IF(OR($E12="",$F12=""),"",$E12*$F12)</f>
        <v/>
      </c>
      <c r="I12" s="53" t="str">
        <f aca="false">IF(OR($E12="",$F12=""),"",$E12*(1+$F12/30))</f>
        <v/>
      </c>
      <c r="J12" s="52"/>
    </row>
    <row r="13" customFormat="false" ht="15" hidden="false" customHeight="false" outlineLevel="0" collapsed="false">
      <c r="A13" s="51"/>
      <c r="B13" s="52"/>
      <c r="C13" s="52"/>
      <c r="D13" s="32"/>
      <c r="E13" s="13"/>
      <c r="F13" s="32"/>
      <c r="G13" s="32"/>
      <c r="H13" s="53" t="str">
        <f aca="false">IF(OR($E13="",$F13=""),"",$E13*$F13)</f>
        <v/>
      </c>
      <c r="I13" s="53" t="str">
        <f aca="false">IF(OR($E13="",$F13=""),"",$E13*(1+$F13/30))</f>
        <v/>
      </c>
      <c r="J13" s="52"/>
    </row>
    <row r="14" customFormat="false" ht="15" hidden="false" customHeight="false" outlineLevel="0" collapsed="false">
      <c r="A14" s="51"/>
      <c r="B14" s="52"/>
      <c r="C14" s="52"/>
      <c r="D14" s="32"/>
      <c r="E14" s="13"/>
      <c r="F14" s="32"/>
      <c r="G14" s="32"/>
      <c r="H14" s="53" t="str">
        <f aca="false">IF(OR($E14="",$F14=""),"",$E14*$F14)</f>
        <v/>
      </c>
      <c r="I14" s="53" t="str">
        <f aca="false">IF(OR($E14="",$F14=""),"",$E14*(1+$F14/30))</f>
        <v/>
      </c>
      <c r="J14" s="52"/>
    </row>
    <row r="15" customFormat="false" ht="15" hidden="false" customHeight="false" outlineLevel="0" collapsed="false">
      <c r="A15" s="51"/>
      <c r="B15" s="52"/>
      <c r="C15" s="52"/>
      <c r="D15" s="32"/>
      <c r="E15" s="13"/>
      <c r="F15" s="32"/>
      <c r="G15" s="32"/>
      <c r="H15" s="53" t="str">
        <f aca="false">IF(OR($E15="",$F15=""),"",$E15*$F15)</f>
        <v/>
      </c>
      <c r="I15" s="53" t="str">
        <f aca="false">IF(OR($E15="",$F15=""),"",$E15*(1+$F15/30))</f>
        <v/>
      </c>
      <c r="J15" s="52"/>
    </row>
    <row r="16" customFormat="false" ht="15" hidden="false" customHeight="false" outlineLevel="0" collapsed="false">
      <c r="A16" s="51"/>
      <c r="B16" s="52"/>
      <c r="C16" s="52"/>
      <c r="D16" s="32"/>
      <c r="E16" s="13"/>
      <c r="F16" s="32"/>
      <c r="G16" s="32"/>
      <c r="H16" s="53" t="str">
        <f aca="false">IF(OR($E16="",$F16=""),"",$E16*$F16)</f>
        <v/>
      </c>
      <c r="I16" s="53" t="str">
        <f aca="false">IF(OR($E16="",$F16=""),"",$E16*(1+$F16/30))</f>
        <v/>
      </c>
      <c r="J16" s="52"/>
    </row>
    <row r="17" customFormat="false" ht="15" hidden="false" customHeight="false" outlineLevel="0" collapsed="false">
      <c r="A17" s="51"/>
      <c r="B17" s="52"/>
      <c r="C17" s="52"/>
      <c r="D17" s="32"/>
      <c r="E17" s="13"/>
      <c r="F17" s="32"/>
      <c r="G17" s="32"/>
      <c r="H17" s="53" t="str">
        <f aca="false">IF(OR($E17="",$F17=""),"",$E17*$F17)</f>
        <v/>
      </c>
      <c r="I17" s="53" t="str">
        <f aca="false">IF(OR($E17="",$F17=""),"",$E17*(1+$F17/30))</f>
        <v/>
      </c>
      <c r="J17" s="52"/>
    </row>
    <row r="18" customFormat="false" ht="15" hidden="false" customHeight="false" outlineLevel="0" collapsed="false">
      <c r="A18" s="51"/>
      <c r="B18" s="52"/>
      <c r="C18" s="52"/>
      <c r="D18" s="32"/>
      <c r="E18" s="13"/>
      <c r="F18" s="32"/>
      <c r="G18" s="32"/>
      <c r="H18" s="53" t="str">
        <f aca="false">IF(OR($E18="",$F18=""),"",$E18*$F18)</f>
        <v/>
      </c>
      <c r="I18" s="53" t="str">
        <f aca="false">IF(OR($E18="",$F18=""),"",$E18*(1+$F18/30))</f>
        <v/>
      </c>
      <c r="J18" s="52"/>
    </row>
    <row r="19" customFormat="false" ht="15" hidden="false" customHeight="false" outlineLevel="0" collapsed="false">
      <c r="A19" s="51"/>
      <c r="B19" s="52"/>
      <c r="C19" s="52"/>
      <c r="D19" s="32"/>
      <c r="E19" s="13"/>
      <c r="F19" s="32"/>
      <c r="G19" s="32"/>
      <c r="H19" s="53" t="str">
        <f aca="false">IF(OR($E19="",$F19=""),"",$E19*$F19)</f>
        <v/>
      </c>
      <c r="I19" s="53" t="str">
        <f aca="false">IF(OR($E19="",$F19=""),"",$E19*(1+$F19/30))</f>
        <v/>
      </c>
      <c r="J19" s="52"/>
    </row>
    <row r="20" customFormat="false" ht="15" hidden="false" customHeight="false" outlineLevel="0" collapsed="false">
      <c r="A20" s="51"/>
      <c r="B20" s="52"/>
      <c r="C20" s="52"/>
      <c r="D20" s="32"/>
      <c r="E20" s="13"/>
      <c r="F20" s="32"/>
      <c r="G20" s="32"/>
      <c r="H20" s="53" t="str">
        <f aca="false">IF(OR($E20="",$F20=""),"",$E20*$F20)</f>
        <v/>
      </c>
      <c r="I20" s="53" t="str">
        <f aca="false">IF(OR($E20="",$F20=""),"",$E20*(1+$F20/30))</f>
        <v/>
      </c>
      <c r="J20" s="52"/>
    </row>
    <row r="21" customFormat="false" ht="15" hidden="false" customHeight="false" outlineLevel="0" collapsed="false">
      <c r="A21" s="51"/>
      <c r="B21" s="52"/>
      <c r="C21" s="52"/>
      <c r="D21" s="32"/>
      <c r="E21" s="13"/>
      <c r="F21" s="32"/>
      <c r="G21" s="32"/>
      <c r="H21" s="53" t="str">
        <f aca="false">IF(OR($E21="",$F21=""),"",$E21*$F21)</f>
        <v/>
      </c>
      <c r="I21" s="53" t="str">
        <f aca="false">IF(OR($E21="",$F21=""),"",$E21*(1+$F21/30))</f>
        <v/>
      </c>
      <c r="J21" s="52"/>
    </row>
    <row r="22" customFormat="false" ht="15" hidden="false" customHeight="false" outlineLevel="0" collapsed="false">
      <c r="A22" s="51"/>
      <c r="B22" s="52"/>
      <c r="C22" s="52"/>
      <c r="D22" s="32"/>
      <c r="E22" s="13"/>
      <c r="F22" s="32"/>
      <c r="G22" s="32"/>
      <c r="H22" s="53" t="str">
        <f aca="false">IF(OR($E22="",$F22=""),"",$E22*$F22)</f>
        <v/>
      </c>
      <c r="I22" s="53" t="str">
        <f aca="false">IF(OR($E22="",$F22=""),"",$E22*(1+$F22/30))</f>
        <v/>
      </c>
      <c r="J22" s="52"/>
    </row>
    <row r="23" customFormat="false" ht="15" hidden="false" customHeight="false" outlineLevel="0" collapsed="false">
      <c r="A23" s="51"/>
      <c r="B23" s="52"/>
      <c r="C23" s="52"/>
      <c r="D23" s="32"/>
      <c r="E23" s="13"/>
      <c r="F23" s="32"/>
      <c r="G23" s="32"/>
      <c r="H23" s="53" t="str">
        <f aca="false">IF(OR($E23="",$F23=""),"",$E23*$F23)</f>
        <v/>
      </c>
      <c r="I23" s="53" t="str">
        <f aca="false">IF(OR($E23="",$F23=""),"",$E23*(1+$F23/30))</f>
        <v/>
      </c>
      <c r="J23" s="52"/>
    </row>
    <row r="24" customFormat="false" ht="15" hidden="false" customHeight="false" outlineLevel="0" collapsed="false">
      <c r="A24" s="51"/>
      <c r="B24" s="52"/>
      <c r="C24" s="52"/>
      <c r="D24" s="32"/>
      <c r="E24" s="13"/>
      <c r="F24" s="32"/>
      <c r="G24" s="32"/>
      <c r="H24" s="53" t="str">
        <f aca="false">IF(OR($E24="",$F24=""),"",$E24*$F24)</f>
        <v/>
      </c>
      <c r="I24" s="53" t="str">
        <f aca="false">IF(OR($E24="",$F24=""),"",$E24*(1+$F24/30))</f>
        <v/>
      </c>
      <c r="J24" s="52"/>
    </row>
    <row r="25" customFormat="false" ht="15" hidden="false" customHeight="false" outlineLevel="0" collapsed="false">
      <c r="A25" s="51"/>
      <c r="B25" s="52"/>
      <c r="C25" s="52"/>
      <c r="D25" s="32"/>
      <c r="E25" s="13"/>
      <c r="F25" s="32"/>
      <c r="G25" s="32"/>
      <c r="H25" s="53" t="str">
        <f aca="false">IF(OR($E25="",$F25=""),"",$E25*$F25)</f>
        <v/>
      </c>
      <c r="I25" s="53" t="str">
        <f aca="false">IF(OR($E25="",$F25=""),"",$E25*(1+$F25/30))</f>
        <v/>
      </c>
      <c r="J25" s="52"/>
    </row>
    <row r="26" customFormat="false" ht="15" hidden="false" customHeight="false" outlineLevel="0" collapsed="false">
      <c r="A26" s="51"/>
      <c r="B26" s="52"/>
      <c r="C26" s="52"/>
      <c r="D26" s="32"/>
      <c r="E26" s="13"/>
      <c r="F26" s="32"/>
      <c r="G26" s="32"/>
      <c r="H26" s="53" t="str">
        <f aca="false">IF(OR($E26="",$F26=""),"",$E26*$F26)</f>
        <v/>
      </c>
      <c r="I26" s="53" t="str">
        <f aca="false">IF(OR($E26="",$F26=""),"",$E26*(1+$F26/30))</f>
        <v/>
      </c>
      <c r="J26" s="52"/>
    </row>
    <row r="27" customFormat="false" ht="15" hidden="false" customHeight="false" outlineLevel="0" collapsed="false">
      <c r="A27" s="51"/>
      <c r="B27" s="52"/>
      <c r="C27" s="52"/>
      <c r="D27" s="32"/>
      <c r="E27" s="13"/>
      <c r="F27" s="32"/>
      <c r="G27" s="32"/>
      <c r="H27" s="53" t="str">
        <f aca="false">IF(OR($E27="",$F27=""),"",$E27*$F27)</f>
        <v/>
      </c>
      <c r="I27" s="53" t="str">
        <f aca="false">IF(OR($E27="",$F27=""),"",$E27*(1+$F27/30))</f>
        <v/>
      </c>
      <c r="J27" s="52"/>
    </row>
    <row r="28" customFormat="false" ht="15" hidden="false" customHeight="false" outlineLevel="0" collapsed="false">
      <c r="A28" s="51"/>
      <c r="B28" s="52"/>
      <c r="C28" s="52"/>
      <c r="D28" s="32"/>
      <c r="E28" s="13"/>
      <c r="F28" s="32"/>
      <c r="G28" s="32"/>
      <c r="H28" s="53" t="str">
        <f aca="false">IF(OR($E28="",$F28=""),"",$E28*$F28)</f>
        <v/>
      </c>
      <c r="I28" s="53" t="str">
        <f aca="false">IF(OR($E28="",$F28=""),"",$E28*(1+$F28/30))</f>
        <v/>
      </c>
      <c r="J28" s="52"/>
    </row>
    <row r="29" customFormat="false" ht="15" hidden="false" customHeight="false" outlineLevel="0" collapsed="false">
      <c r="A29" s="51"/>
      <c r="B29" s="52"/>
      <c r="C29" s="52"/>
      <c r="D29" s="32"/>
      <c r="E29" s="13"/>
      <c r="F29" s="32"/>
      <c r="G29" s="32"/>
      <c r="H29" s="53" t="str">
        <f aca="false">IF(OR($E29="",$F29=""),"",$E29*$F29)</f>
        <v/>
      </c>
      <c r="I29" s="53" t="str">
        <f aca="false">IF(OR($E29="",$F29=""),"",$E29*(1+$F29/30))</f>
        <v/>
      </c>
      <c r="J29" s="52"/>
    </row>
    <row r="30" customFormat="false" ht="15" hidden="false" customHeight="false" outlineLevel="0" collapsed="false">
      <c r="A30" s="51"/>
      <c r="B30" s="52"/>
      <c r="C30" s="52"/>
      <c r="D30" s="32"/>
      <c r="E30" s="13"/>
      <c r="F30" s="32"/>
      <c r="G30" s="32"/>
      <c r="H30" s="53" t="str">
        <f aca="false">IF(OR($E30="",$F30=""),"",$E30*$F30)</f>
        <v/>
      </c>
      <c r="I30" s="53" t="str">
        <f aca="false">IF(OR($E30="",$F30=""),"",$E30*(1+$F30/30))</f>
        <v/>
      </c>
      <c r="J30" s="52"/>
    </row>
    <row r="31" customFormat="false" ht="15" hidden="false" customHeight="false" outlineLevel="0" collapsed="false">
      <c r="A31" s="51"/>
      <c r="B31" s="52"/>
      <c r="C31" s="52"/>
      <c r="D31" s="32"/>
      <c r="E31" s="13"/>
      <c r="F31" s="32"/>
      <c r="G31" s="32"/>
      <c r="H31" s="53" t="str">
        <f aca="false">IF(OR($E31="",$F31=""),"",$E31*$F31)</f>
        <v/>
      </c>
      <c r="I31" s="53" t="str">
        <f aca="false">IF(OR($E31="",$F31=""),"",$E31*(1+$F31/30))</f>
        <v/>
      </c>
      <c r="J31" s="52"/>
    </row>
    <row r="32" customFormat="false" ht="15" hidden="false" customHeight="false" outlineLevel="0" collapsed="false">
      <c r="A32" s="51"/>
      <c r="B32" s="52"/>
      <c r="C32" s="52"/>
      <c r="D32" s="32"/>
      <c r="E32" s="13"/>
      <c r="F32" s="32"/>
      <c r="G32" s="32"/>
      <c r="H32" s="53" t="str">
        <f aca="false">IF(OR($E32="",$F32=""),"",$E32*$F32)</f>
        <v/>
      </c>
      <c r="I32" s="53" t="str">
        <f aca="false">IF(OR($E32="",$F32=""),"",$E32*(1+$F32/30))</f>
        <v/>
      </c>
      <c r="J32" s="52"/>
    </row>
    <row r="33" customFormat="false" ht="15" hidden="false" customHeight="false" outlineLevel="0" collapsed="false">
      <c r="A33" s="51"/>
      <c r="B33" s="52"/>
      <c r="C33" s="52"/>
      <c r="D33" s="32"/>
      <c r="E33" s="13"/>
      <c r="F33" s="32"/>
      <c r="G33" s="32"/>
      <c r="H33" s="53" t="str">
        <f aca="false">IF(OR($E33="",$F33=""),"",$E33*$F33)</f>
        <v/>
      </c>
      <c r="I33" s="53" t="str">
        <f aca="false">IF(OR($E33="",$F33=""),"",$E33*(1+$F33/30))</f>
        <v/>
      </c>
      <c r="J33" s="52"/>
    </row>
    <row r="34" customFormat="false" ht="15" hidden="false" customHeight="false" outlineLevel="0" collapsed="false">
      <c r="A34" s="51"/>
      <c r="B34" s="52"/>
      <c r="C34" s="52"/>
      <c r="D34" s="32"/>
      <c r="E34" s="13"/>
      <c r="F34" s="32"/>
      <c r="G34" s="32"/>
      <c r="H34" s="53" t="str">
        <f aca="false">IF(OR($E34="",$F34=""),"",$E34*$F34)</f>
        <v/>
      </c>
      <c r="I34" s="53" t="str">
        <f aca="false">IF(OR($E34="",$F34=""),"",$E34*(1+$F34/30))</f>
        <v/>
      </c>
      <c r="J34" s="52"/>
    </row>
    <row r="35" customFormat="false" ht="15" hidden="false" customHeight="false" outlineLevel="0" collapsed="false">
      <c r="A35" s="51"/>
      <c r="B35" s="52"/>
      <c r="C35" s="52"/>
      <c r="D35" s="32"/>
      <c r="E35" s="13"/>
      <c r="F35" s="32"/>
      <c r="G35" s="32"/>
      <c r="H35" s="53" t="str">
        <f aca="false">IF(OR($E35="",$F35=""),"",$E35*$F35)</f>
        <v/>
      </c>
      <c r="I35" s="53" t="str">
        <f aca="false">IF(OR($E35="",$F35=""),"",$E35*(1+$F35/30))</f>
        <v/>
      </c>
      <c r="J35" s="52"/>
    </row>
    <row r="36" customFormat="false" ht="15" hidden="false" customHeight="false" outlineLevel="0" collapsed="false">
      <c r="A36" s="51"/>
      <c r="B36" s="52"/>
      <c r="C36" s="52"/>
      <c r="D36" s="32"/>
      <c r="E36" s="13"/>
      <c r="F36" s="32"/>
      <c r="G36" s="32"/>
      <c r="H36" s="53" t="str">
        <f aca="false">IF(OR($E36="",$F36=""),"",$E36*$F36)</f>
        <v/>
      </c>
      <c r="I36" s="53" t="str">
        <f aca="false">IF(OR($E36="",$F36=""),"",$E36*(1+$F36/30))</f>
        <v/>
      </c>
      <c r="J36" s="52"/>
    </row>
    <row r="37" customFormat="false" ht="15" hidden="false" customHeight="false" outlineLevel="0" collapsed="false">
      <c r="A37" s="51"/>
      <c r="B37" s="52"/>
      <c r="C37" s="52"/>
      <c r="D37" s="32"/>
      <c r="E37" s="13"/>
      <c r="F37" s="32"/>
      <c r="G37" s="32"/>
      <c r="H37" s="53" t="str">
        <f aca="false">IF(OR($E37="",$F37=""),"",$E37*$F37)</f>
        <v/>
      </c>
      <c r="I37" s="53" t="str">
        <f aca="false">IF(OR($E37="",$F37=""),"",$E37*(1+$F37/30))</f>
        <v/>
      </c>
      <c r="J37" s="52"/>
    </row>
    <row r="38" customFormat="false" ht="15" hidden="false" customHeight="false" outlineLevel="0" collapsed="false">
      <c r="A38" s="51"/>
      <c r="B38" s="52"/>
      <c r="C38" s="52"/>
      <c r="D38" s="32"/>
      <c r="E38" s="13"/>
      <c r="F38" s="32"/>
      <c r="G38" s="32"/>
      <c r="H38" s="53" t="str">
        <f aca="false">IF(OR($E38="",$F38=""),"",$E38*$F38)</f>
        <v/>
      </c>
      <c r="I38" s="53" t="str">
        <f aca="false">IF(OR($E38="",$F38=""),"",$E38*(1+$F38/30))</f>
        <v/>
      </c>
      <c r="J38" s="52"/>
    </row>
    <row r="39" customFormat="false" ht="15" hidden="false" customHeight="false" outlineLevel="0" collapsed="false">
      <c r="A39" s="51"/>
      <c r="B39" s="52"/>
      <c r="C39" s="52"/>
      <c r="D39" s="32"/>
      <c r="E39" s="13"/>
      <c r="F39" s="32"/>
      <c r="G39" s="32"/>
      <c r="H39" s="53" t="str">
        <f aca="false">IF(OR($E39="",$F39=""),"",$E39*$F39)</f>
        <v/>
      </c>
      <c r="I39" s="53" t="str">
        <f aca="false">IF(OR($E39="",$F39=""),"",$E39*(1+$F39/30))</f>
        <v/>
      </c>
      <c r="J39" s="52"/>
    </row>
    <row r="40" customFormat="false" ht="15" hidden="false" customHeight="false" outlineLevel="0" collapsed="false">
      <c r="A40" s="51"/>
      <c r="B40" s="52"/>
      <c r="C40" s="52"/>
      <c r="D40" s="32"/>
      <c r="E40" s="13"/>
      <c r="F40" s="32"/>
      <c r="G40" s="32"/>
      <c r="H40" s="53" t="str">
        <f aca="false">IF(OR($E40="",$F40=""),"",$E40*$F40)</f>
        <v/>
      </c>
      <c r="I40" s="53" t="str">
        <f aca="false">IF(OR($E40="",$F40=""),"",$E40*(1+$F40/30))</f>
        <v/>
      </c>
      <c r="J40" s="52"/>
    </row>
    <row r="41" customFormat="false" ht="15" hidden="false" customHeight="false" outlineLevel="0" collapsed="false">
      <c r="A41" s="51"/>
      <c r="B41" s="52"/>
      <c r="C41" s="52"/>
      <c r="D41" s="32"/>
      <c r="E41" s="13"/>
      <c r="F41" s="32"/>
      <c r="G41" s="32"/>
      <c r="H41" s="53" t="str">
        <f aca="false">IF(OR($E41="",$F41=""),"",$E41*$F41)</f>
        <v/>
      </c>
      <c r="I41" s="53" t="str">
        <f aca="false">IF(OR($E41="",$F41=""),"",$E41*(1+$F41/30))</f>
        <v/>
      </c>
      <c r="J41" s="52"/>
    </row>
    <row r="42" customFormat="false" ht="15" hidden="false" customHeight="false" outlineLevel="0" collapsed="false">
      <c r="A42" s="51"/>
      <c r="B42" s="52"/>
      <c r="C42" s="52"/>
      <c r="D42" s="32"/>
      <c r="E42" s="13"/>
      <c r="F42" s="32"/>
      <c r="G42" s="32"/>
      <c r="H42" s="53" t="str">
        <f aca="false">IF(OR($E42="",$F42=""),"",$E42*$F42)</f>
        <v/>
      </c>
      <c r="I42" s="53" t="str">
        <f aca="false">IF(OR($E42="",$F42=""),"",$E42*(1+$F42/30))</f>
        <v/>
      </c>
      <c r="J42" s="52"/>
    </row>
    <row r="43" customFormat="false" ht="15" hidden="false" customHeight="false" outlineLevel="0" collapsed="false">
      <c r="A43" s="51"/>
      <c r="B43" s="52"/>
      <c r="C43" s="52"/>
      <c r="D43" s="32"/>
      <c r="E43" s="13"/>
      <c r="F43" s="32"/>
      <c r="G43" s="32"/>
      <c r="H43" s="53" t="str">
        <f aca="false">IF(OR($E43="",$F43=""),"",$E43*$F43)</f>
        <v/>
      </c>
      <c r="I43" s="53" t="str">
        <f aca="false">IF(OR($E43="",$F43=""),"",$E43*(1+$F43/30))</f>
        <v/>
      </c>
      <c r="J43" s="52"/>
    </row>
    <row r="44" customFormat="false" ht="15" hidden="false" customHeight="false" outlineLevel="0" collapsed="false">
      <c r="A44" s="51"/>
      <c r="B44" s="52"/>
      <c r="C44" s="52"/>
      <c r="D44" s="32"/>
      <c r="E44" s="13"/>
      <c r="F44" s="32"/>
      <c r="G44" s="32"/>
      <c r="H44" s="53" t="str">
        <f aca="false">IF(OR($E44="",$F44=""),"",$E44*$F44)</f>
        <v/>
      </c>
      <c r="I44" s="53" t="str">
        <f aca="false">IF(OR($E44="",$F44=""),"",$E44*(1+$F44/30))</f>
        <v/>
      </c>
      <c r="J44" s="52"/>
    </row>
    <row r="45" customFormat="false" ht="15" hidden="false" customHeight="false" outlineLevel="0" collapsed="false">
      <c r="A45" s="51"/>
      <c r="B45" s="52"/>
      <c r="C45" s="52"/>
      <c r="D45" s="32"/>
      <c r="E45" s="13"/>
      <c r="F45" s="32"/>
      <c r="G45" s="32"/>
      <c r="H45" s="53" t="str">
        <f aca="false">IF(OR($E45="",$F45=""),"",$E45*$F45)</f>
        <v/>
      </c>
      <c r="I45" s="53" t="str">
        <f aca="false">IF(OR($E45="",$F45=""),"",$E45*(1+$F45/30))</f>
        <v/>
      </c>
      <c r="J45" s="52"/>
    </row>
    <row r="46" customFormat="false" ht="15" hidden="false" customHeight="false" outlineLevel="0" collapsed="false">
      <c r="A46" s="51"/>
      <c r="B46" s="52"/>
      <c r="C46" s="52"/>
      <c r="D46" s="32"/>
      <c r="E46" s="13"/>
      <c r="F46" s="32"/>
      <c r="G46" s="32"/>
      <c r="H46" s="53" t="str">
        <f aca="false">IF(OR($E46="",$F46=""),"",$E46*$F46)</f>
        <v/>
      </c>
      <c r="I46" s="53" t="str">
        <f aca="false">IF(OR($E46="",$F46=""),"",$E46*(1+$F46/30))</f>
        <v/>
      </c>
      <c r="J46" s="52"/>
    </row>
    <row r="47" customFormat="false" ht="15" hidden="false" customHeight="false" outlineLevel="0" collapsed="false">
      <c r="A47" s="51"/>
      <c r="B47" s="52"/>
      <c r="C47" s="52"/>
      <c r="D47" s="32"/>
      <c r="E47" s="13"/>
      <c r="F47" s="32"/>
      <c r="G47" s="32"/>
      <c r="H47" s="53" t="str">
        <f aca="false">IF(OR($E47="",$F47=""),"",$E47*$F47)</f>
        <v/>
      </c>
      <c r="I47" s="53" t="str">
        <f aca="false">IF(OR($E47="",$F47=""),"",$E47*(1+$F47/30))</f>
        <v/>
      </c>
      <c r="J47" s="52"/>
    </row>
    <row r="48" customFormat="false" ht="15" hidden="false" customHeight="false" outlineLevel="0" collapsed="false">
      <c r="A48" s="51"/>
      <c r="B48" s="52"/>
      <c r="C48" s="52"/>
      <c r="D48" s="32"/>
      <c r="E48" s="13"/>
      <c r="F48" s="32"/>
      <c r="G48" s="32"/>
      <c r="H48" s="53" t="str">
        <f aca="false">IF(OR($E48="",$F48=""),"",$E48*$F48)</f>
        <v/>
      </c>
      <c r="I48" s="53" t="str">
        <f aca="false">IF(OR($E48="",$F48=""),"",$E48*(1+$F48/30))</f>
        <v/>
      </c>
      <c r="J48" s="52"/>
    </row>
    <row r="49" customFormat="false" ht="15" hidden="false" customHeight="false" outlineLevel="0" collapsed="false">
      <c r="A49" s="51"/>
      <c r="B49" s="52"/>
      <c r="C49" s="52"/>
      <c r="D49" s="32"/>
      <c r="E49" s="13"/>
      <c r="F49" s="32"/>
      <c r="G49" s="32"/>
      <c r="H49" s="53" t="str">
        <f aca="false">IF(OR($E49="",$F49=""),"",$E49*$F49)</f>
        <v/>
      </c>
      <c r="I49" s="53" t="str">
        <f aca="false">IF(OR($E49="",$F49=""),"",$E49*(1+$F49/30))</f>
        <v/>
      </c>
      <c r="J49" s="52"/>
    </row>
    <row r="50" customFormat="false" ht="15" hidden="false" customHeight="false" outlineLevel="0" collapsed="false">
      <c r="A50" s="51"/>
      <c r="B50" s="52"/>
      <c r="C50" s="52"/>
      <c r="D50" s="32"/>
      <c r="E50" s="13"/>
      <c r="F50" s="32"/>
      <c r="G50" s="32"/>
      <c r="H50" s="53" t="str">
        <f aca="false">IF(OR($E50="",$F50=""),"",$E50*$F50)</f>
        <v/>
      </c>
      <c r="I50" s="53" t="str">
        <f aca="false">IF(OR($E50="",$F50=""),"",$E50*(1+$F50/30))</f>
        <v/>
      </c>
      <c r="J50" s="52"/>
    </row>
    <row r="51" customFormat="false" ht="15" hidden="false" customHeight="false" outlineLevel="0" collapsed="false">
      <c r="A51" s="51"/>
      <c r="B51" s="52"/>
      <c r="C51" s="52"/>
      <c r="D51" s="32"/>
      <c r="E51" s="13"/>
      <c r="F51" s="32"/>
      <c r="G51" s="32"/>
      <c r="H51" s="53" t="str">
        <f aca="false">IF(OR($E51="",$F51=""),"",$E51*$F51)</f>
        <v/>
      </c>
      <c r="I51" s="53" t="str">
        <f aca="false">IF(OR($E51="",$F51=""),"",$E51*(1+$F51/30))</f>
        <v/>
      </c>
      <c r="J51" s="52"/>
    </row>
    <row r="52" customFormat="false" ht="15" hidden="false" customHeight="false" outlineLevel="0" collapsed="false">
      <c r="A52" s="51"/>
      <c r="B52" s="52"/>
      <c r="C52" s="52"/>
      <c r="D52" s="32"/>
      <c r="E52" s="13"/>
      <c r="F52" s="32"/>
      <c r="G52" s="32"/>
      <c r="H52" s="53" t="str">
        <f aca="false">IF(OR($E52="",$F52=""),"",$E52*$F52)</f>
        <v/>
      </c>
      <c r="I52" s="53" t="str">
        <f aca="false">IF(OR($E52="",$F52=""),"",$E52*(1+$F52/30))</f>
        <v/>
      </c>
      <c r="J52" s="52"/>
    </row>
    <row r="53" customFormat="false" ht="15" hidden="false" customHeight="false" outlineLevel="0" collapsed="false">
      <c r="A53" s="51"/>
      <c r="B53" s="52"/>
      <c r="C53" s="52"/>
      <c r="D53" s="32"/>
      <c r="E53" s="13"/>
      <c r="F53" s="32"/>
      <c r="G53" s="32"/>
      <c r="H53" s="53" t="str">
        <f aca="false">IF(OR($E53="",$F53=""),"",$E53*$F53)</f>
        <v/>
      </c>
      <c r="I53" s="53" t="str">
        <f aca="false">IF(OR($E53="",$F53=""),"",$E53*(1+$F53/30))</f>
        <v/>
      </c>
      <c r="J53" s="52"/>
    </row>
    <row r="54" customFormat="false" ht="15" hidden="false" customHeight="false" outlineLevel="0" collapsed="false">
      <c r="A54" s="51"/>
      <c r="B54" s="52"/>
      <c r="C54" s="52"/>
      <c r="D54" s="32"/>
      <c r="E54" s="13"/>
      <c r="F54" s="32"/>
      <c r="G54" s="32"/>
      <c r="H54" s="53" t="str">
        <f aca="false">IF(OR($E54="",$F54=""),"",$E54*$F54)</f>
        <v/>
      </c>
      <c r="I54" s="53" t="str">
        <f aca="false">IF(OR($E54="",$F54=""),"",$E54*(1+$F54/30))</f>
        <v/>
      </c>
      <c r="J54" s="52"/>
    </row>
    <row r="55" customFormat="false" ht="15" hidden="false" customHeight="false" outlineLevel="0" collapsed="false">
      <c r="A55" s="51"/>
      <c r="B55" s="52"/>
      <c r="C55" s="52"/>
      <c r="D55" s="32"/>
      <c r="E55" s="13"/>
      <c r="F55" s="32"/>
      <c r="G55" s="32"/>
      <c r="H55" s="53" t="str">
        <f aca="false">IF(OR($E55="",$F55=""),"",$E55*$F55)</f>
        <v/>
      </c>
      <c r="I55" s="53" t="str">
        <f aca="false">IF(OR($E55="",$F55=""),"",$E55*(1+$F55/30))</f>
        <v/>
      </c>
      <c r="J55" s="52"/>
    </row>
    <row r="56" customFormat="false" ht="15" hidden="false" customHeight="false" outlineLevel="0" collapsed="false">
      <c r="A56" s="51"/>
      <c r="B56" s="52"/>
      <c r="C56" s="52"/>
      <c r="D56" s="32"/>
      <c r="E56" s="13"/>
      <c r="F56" s="32"/>
      <c r="G56" s="32"/>
      <c r="H56" s="53" t="str">
        <f aca="false">IF(OR($E56="",$F56=""),"",$E56*$F56)</f>
        <v/>
      </c>
      <c r="I56" s="53" t="str">
        <f aca="false">IF(OR($E56="",$F56=""),"",$E56*(1+$F56/30))</f>
        <v/>
      </c>
      <c r="J56" s="52"/>
    </row>
    <row r="57" customFormat="false" ht="15" hidden="false" customHeight="false" outlineLevel="0" collapsed="false">
      <c r="A57" s="51"/>
      <c r="B57" s="52"/>
      <c r="C57" s="52"/>
      <c r="D57" s="32"/>
      <c r="E57" s="13"/>
      <c r="F57" s="32"/>
      <c r="G57" s="32"/>
      <c r="H57" s="53" t="str">
        <f aca="false">IF(OR($E57="",$F57=""),"",$E57*$F57)</f>
        <v/>
      </c>
      <c r="I57" s="53" t="str">
        <f aca="false">IF(OR($E57="",$F57=""),"",$E57*(1+$F57/30))</f>
        <v/>
      </c>
      <c r="J57" s="52"/>
    </row>
    <row r="58" customFormat="false" ht="15" hidden="false" customHeight="false" outlineLevel="0" collapsed="false">
      <c r="A58" s="51"/>
      <c r="B58" s="52"/>
      <c r="C58" s="52"/>
      <c r="D58" s="32"/>
      <c r="E58" s="13"/>
      <c r="F58" s="32"/>
      <c r="G58" s="32"/>
      <c r="H58" s="53" t="str">
        <f aca="false">IF(OR($E58="",$F58=""),"",$E58*$F58)</f>
        <v/>
      </c>
      <c r="I58" s="53" t="str">
        <f aca="false">IF(OR($E58="",$F58=""),"",$E58*(1+$F58/30))</f>
        <v/>
      </c>
      <c r="J58" s="52"/>
    </row>
    <row r="59" customFormat="false" ht="15" hidden="false" customHeight="false" outlineLevel="0" collapsed="false">
      <c r="A59" s="51"/>
      <c r="B59" s="52"/>
      <c r="C59" s="52"/>
      <c r="D59" s="32"/>
      <c r="E59" s="13"/>
      <c r="F59" s="32"/>
      <c r="G59" s="32"/>
      <c r="H59" s="53" t="str">
        <f aca="false">IF(OR($E59="",$F59=""),"",$E59*$F59)</f>
        <v/>
      </c>
      <c r="I59" s="53" t="str">
        <f aca="false">IF(OR($E59="",$F59=""),"",$E59*(1+$F59/30))</f>
        <v/>
      </c>
      <c r="J59" s="52"/>
    </row>
    <row r="60" customFormat="false" ht="15" hidden="false" customHeight="false" outlineLevel="0" collapsed="false">
      <c r="A60" s="51"/>
      <c r="B60" s="52"/>
      <c r="C60" s="52"/>
      <c r="D60" s="32"/>
      <c r="E60" s="13"/>
      <c r="F60" s="32"/>
      <c r="G60" s="32"/>
      <c r="H60" s="53" t="str">
        <f aca="false">IF(OR($E60="",$F60=""),"",$E60*$F60)</f>
        <v/>
      </c>
      <c r="I60" s="53" t="str">
        <f aca="false">IF(OR($E60="",$F60=""),"",$E60*(1+$F60/30))</f>
        <v/>
      </c>
      <c r="J60" s="52"/>
    </row>
    <row r="61" customFormat="false" ht="15" hidden="false" customHeight="false" outlineLevel="0" collapsed="false">
      <c r="A61" s="51"/>
      <c r="B61" s="52"/>
      <c r="C61" s="52"/>
      <c r="D61" s="32"/>
      <c r="E61" s="13"/>
      <c r="F61" s="32"/>
      <c r="G61" s="32"/>
      <c r="H61" s="53" t="str">
        <f aca="false">IF(OR($E61="",$F61=""),"",$E61*$F61)</f>
        <v/>
      </c>
      <c r="I61" s="53" t="str">
        <f aca="false">IF(OR($E61="",$F61=""),"",$E61*(1+$F61/30))</f>
        <v/>
      </c>
      <c r="J61" s="52"/>
    </row>
    <row r="62" customFormat="false" ht="15" hidden="false" customHeight="false" outlineLevel="0" collapsed="false">
      <c r="A62" s="51"/>
      <c r="B62" s="52"/>
      <c r="C62" s="52"/>
      <c r="D62" s="32"/>
      <c r="E62" s="13"/>
      <c r="F62" s="32"/>
      <c r="G62" s="32"/>
      <c r="H62" s="53" t="str">
        <f aca="false">IF(OR($E62="",$F62=""),"",$E62*$F62)</f>
        <v/>
      </c>
      <c r="I62" s="53" t="str">
        <f aca="false">IF(OR($E62="",$F62=""),"",$E62*(1+$F62/30))</f>
        <v/>
      </c>
      <c r="J62" s="52"/>
    </row>
    <row r="63" customFormat="false" ht="15" hidden="false" customHeight="false" outlineLevel="0" collapsed="false">
      <c r="A63" s="51"/>
      <c r="B63" s="52"/>
      <c r="C63" s="52"/>
      <c r="D63" s="32"/>
      <c r="E63" s="13"/>
      <c r="F63" s="32"/>
      <c r="G63" s="32"/>
      <c r="H63" s="53" t="str">
        <f aca="false">IF(OR($E63="",$F63=""),"",$E63*$F63)</f>
        <v/>
      </c>
      <c r="I63" s="53" t="str">
        <f aca="false">IF(OR($E63="",$F63=""),"",$E63*(1+$F63/30))</f>
        <v/>
      </c>
      <c r="J63" s="52"/>
    </row>
    <row r="64" customFormat="false" ht="15" hidden="false" customHeight="false" outlineLevel="0" collapsed="false">
      <c r="A64" s="51"/>
      <c r="B64" s="52"/>
      <c r="C64" s="52"/>
      <c r="D64" s="32"/>
      <c r="E64" s="13"/>
      <c r="F64" s="32"/>
      <c r="G64" s="32"/>
      <c r="H64" s="53" t="str">
        <f aca="false">IF(OR($E64="",$F64=""),"",$E64*$F64)</f>
        <v/>
      </c>
      <c r="I64" s="53" t="str">
        <f aca="false">IF(OR($E64="",$F64=""),"",$E64*(1+$F64/30))</f>
        <v/>
      </c>
      <c r="J64" s="52"/>
    </row>
    <row r="65" customFormat="false" ht="15" hidden="false" customHeight="false" outlineLevel="0" collapsed="false">
      <c r="A65" s="51"/>
      <c r="B65" s="52"/>
      <c r="C65" s="52"/>
      <c r="D65" s="32"/>
      <c r="E65" s="13"/>
      <c r="F65" s="32"/>
      <c r="G65" s="32"/>
      <c r="H65" s="53" t="str">
        <f aca="false">IF(OR($E65="",$F65=""),"",$E65*$F65)</f>
        <v/>
      </c>
      <c r="I65" s="53" t="str">
        <f aca="false">IF(OR($E65="",$F65=""),"",$E65*(1+$F65/30))</f>
        <v/>
      </c>
      <c r="J65" s="52"/>
    </row>
    <row r="66" customFormat="false" ht="15" hidden="false" customHeight="false" outlineLevel="0" collapsed="false">
      <c r="A66" s="51"/>
      <c r="B66" s="52"/>
      <c r="C66" s="52"/>
      <c r="D66" s="32"/>
      <c r="E66" s="13"/>
      <c r="F66" s="32"/>
      <c r="G66" s="32"/>
      <c r="H66" s="53" t="str">
        <f aca="false">IF(OR($E66="",$F66=""),"",$E66*$F66)</f>
        <v/>
      </c>
      <c r="I66" s="53" t="str">
        <f aca="false">IF(OR($E66="",$F66=""),"",$E66*(1+$F66/30))</f>
        <v/>
      </c>
      <c r="J66" s="52"/>
    </row>
    <row r="67" customFormat="false" ht="15" hidden="false" customHeight="false" outlineLevel="0" collapsed="false">
      <c r="A67" s="51"/>
      <c r="B67" s="52"/>
      <c r="C67" s="52"/>
      <c r="D67" s="32"/>
      <c r="E67" s="13"/>
      <c r="F67" s="32"/>
      <c r="G67" s="32"/>
      <c r="H67" s="53" t="str">
        <f aca="false">IF(OR($E67="",$F67=""),"",$E67*$F67)</f>
        <v/>
      </c>
      <c r="I67" s="53" t="str">
        <f aca="false">IF(OR($E67="",$F67=""),"",$E67*(1+$F67/30))</f>
        <v/>
      </c>
      <c r="J67" s="52"/>
    </row>
    <row r="68" customFormat="false" ht="15" hidden="false" customHeight="false" outlineLevel="0" collapsed="false">
      <c r="A68" s="51"/>
      <c r="B68" s="52"/>
      <c r="C68" s="52"/>
      <c r="D68" s="32"/>
      <c r="E68" s="13"/>
      <c r="F68" s="32"/>
      <c r="G68" s="32"/>
      <c r="H68" s="53" t="str">
        <f aca="false">IF(OR($E68="",$F68=""),"",$E68*$F68)</f>
        <v/>
      </c>
      <c r="I68" s="53" t="str">
        <f aca="false">IF(OR($E68="",$F68=""),"",$E68*(1+$F68/30))</f>
        <v/>
      </c>
      <c r="J68" s="52"/>
    </row>
    <row r="69" customFormat="false" ht="15" hidden="false" customHeight="false" outlineLevel="0" collapsed="false">
      <c r="A69" s="51"/>
      <c r="B69" s="52"/>
      <c r="C69" s="52"/>
      <c r="D69" s="32"/>
      <c r="E69" s="13"/>
      <c r="F69" s="32"/>
      <c r="G69" s="32"/>
      <c r="H69" s="53" t="str">
        <f aca="false">IF(OR($E69="",$F69=""),"",$E69*$F69)</f>
        <v/>
      </c>
      <c r="I69" s="53" t="str">
        <f aca="false">IF(OR($E69="",$F69=""),"",$E69*(1+$F69/30))</f>
        <v/>
      </c>
      <c r="J69" s="52"/>
    </row>
    <row r="70" customFormat="false" ht="15" hidden="false" customHeight="false" outlineLevel="0" collapsed="false">
      <c r="A70" s="51"/>
      <c r="B70" s="52"/>
      <c r="C70" s="52"/>
      <c r="D70" s="32"/>
      <c r="E70" s="13"/>
      <c r="F70" s="32"/>
      <c r="G70" s="32"/>
      <c r="H70" s="53" t="str">
        <f aca="false">IF(OR($E70="",$F70=""),"",$E70*$F70)</f>
        <v/>
      </c>
      <c r="I70" s="53" t="str">
        <f aca="false">IF(OR($E70="",$F70=""),"",$E70*(1+$F70/30))</f>
        <v/>
      </c>
      <c r="J70" s="52"/>
    </row>
    <row r="71" customFormat="false" ht="15" hidden="false" customHeight="false" outlineLevel="0" collapsed="false">
      <c r="A71" s="51"/>
      <c r="B71" s="52"/>
      <c r="C71" s="52"/>
      <c r="D71" s="32"/>
      <c r="E71" s="13"/>
      <c r="F71" s="32"/>
      <c r="G71" s="32"/>
      <c r="H71" s="53" t="str">
        <f aca="false">IF(OR($E71="",$F71=""),"",$E71*$F71)</f>
        <v/>
      </c>
      <c r="I71" s="53" t="str">
        <f aca="false">IF(OR($E71="",$F71=""),"",$E71*(1+$F71/30))</f>
        <v/>
      </c>
      <c r="J71" s="52"/>
    </row>
    <row r="72" customFormat="false" ht="15" hidden="false" customHeight="false" outlineLevel="0" collapsed="false">
      <c r="A72" s="51"/>
      <c r="B72" s="52"/>
      <c r="C72" s="52"/>
      <c r="D72" s="32"/>
      <c r="E72" s="13"/>
      <c r="F72" s="32"/>
      <c r="G72" s="32"/>
      <c r="H72" s="53" t="str">
        <f aca="false">IF(OR($E72="",$F72=""),"",$E72*$F72)</f>
        <v/>
      </c>
      <c r="I72" s="53" t="str">
        <f aca="false">IF(OR($E72="",$F72=""),"",$E72*(1+$F72/30))</f>
        <v/>
      </c>
      <c r="J72" s="52"/>
    </row>
    <row r="73" customFormat="false" ht="15" hidden="false" customHeight="false" outlineLevel="0" collapsed="false">
      <c r="A73" s="51"/>
      <c r="B73" s="52"/>
      <c r="C73" s="52"/>
      <c r="D73" s="32"/>
      <c r="E73" s="13"/>
      <c r="F73" s="32"/>
      <c r="G73" s="32"/>
      <c r="H73" s="53" t="str">
        <f aca="false">IF(OR($E73="",$F73=""),"",$E73*$F73)</f>
        <v/>
      </c>
      <c r="I73" s="53" t="str">
        <f aca="false">IF(OR($E73="",$F73=""),"",$E73*(1+$F73/30))</f>
        <v/>
      </c>
      <c r="J73" s="52"/>
    </row>
    <row r="74" customFormat="false" ht="15" hidden="false" customHeight="false" outlineLevel="0" collapsed="false">
      <c r="A74" s="51"/>
      <c r="B74" s="52"/>
      <c r="C74" s="52"/>
      <c r="D74" s="32"/>
      <c r="E74" s="13"/>
      <c r="F74" s="32"/>
      <c r="G74" s="32"/>
      <c r="H74" s="53" t="str">
        <f aca="false">IF(OR($E74="",$F74=""),"",$E74*$F74)</f>
        <v/>
      </c>
      <c r="I74" s="53" t="str">
        <f aca="false">IF(OR($E74="",$F74=""),"",$E74*(1+$F74/30))</f>
        <v/>
      </c>
      <c r="J74" s="52"/>
    </row>
    <row r="75" customFormat="false" ht="15" hidden="false" customHeight="false" outlineLevel="0" collapsed="false">
      <c r="A75" s="51"/>
      <c r="B75" s="52"/>
      <c r="C75" s="52"/>
      <c r="D75" s="32"/>
      <c r="E75" s="13"/>
      <c r="F75" s="32"/>
      <c r="G75" s="32"/>
      <c r="H75" s="53" t="str">
        <f aca="false">IF(OR($E75="",$F75=""),"",$E75*$F75)</f>
        <v/>
      </c>
      <c r="I75" s="53" t="str">
        <f aca="false">IF(OR($E75="",$F75=""),"",$E75*(1+$F75/30))</f>
        <v/>
      </c>
      <c r="J75" s="52"/>
    </row>
    <row r="76" customFormat="false" ht="15" hidden="false" customHeight="false" outlineLevel="0" collapsed="false">
      <c r="A76" s="51"/>
      <c r="B76" s="52"/>
      <c r="C76" s="52"/>
      <c r="D76" s="32"/>
      <c r="E76" s="13"/>
      <c r="F76" s="32"/>
      <c r="G76" s="32"/>
      <c r="H76" s="53" t="str">
        <f aca="false">IF(OR($E76="",$F76=""),"",$E76*$F76)</f>
        <v/>
      </c>
      <c r="I76" s="53" t="str">
        <f aca="false">IF(OR($E76="",$F76=""),"",$E76*(1+$F76/30))</f>
        <v/>
      </c>
      <c r="J76" s="52"/>
    </row>
    <row r="77" customFormat="false" ht="15" hidden="false" customHeight="false" outlineLevel="0" collapsed="false">
      <c r="A77" s="51"/>
      <c r="B77" s="52"/>
      <c r="C77" s="52"/>
      <c r="D77" s="32"/>
      <c r="E77" s="13"/>
      <c r="F77" s="32"/>
      <c r="G77" s="32"/>
      <c r="H77" s="53" t="str">
        <f aca="false">IF(OR($E77="",$F77=""),"",$E77*$F77)</f>
        <v/>
      </c>
      <c r="I77" s="53" t="str">
        <f aca="false">IF(OR($E77="",$F77=""),"",$E77*(1+$F77/30))</f>
        <v/>
      </c>
      <c r="J77" s="52"/>
    </row>
    <row r="78" customFormat="false" ht="15" hidden="false" customHeight="false" outlineLevel="0" collapsed="false">
      <c r="A78" s="51"/>
      <c r="B78" s="52"/>
      <c r="C78" s="52"/>
      <c r="D78" s="32"/>
      <c r="E78" s="13"/>
      <c r="F78" s="32"/>
      <c r="G78" s="32"/>
      <c r="H78" s="53" t="str">
        <f aca="false">IF(OR($E78="",$F78=""),"",$E78*$F78)</f>
        <v/>
      </c>
      <c r="I78" s="53" t="str">
        <f aca="false">IF(OR($E78="",$F78=""),"",$E78*(1+$F78/30))</f>
        <v/>
      </c>
      <c r="J78" s="52"/>
    </row>
    <row r="79" customFormat="false" ht="15" hidden="false" customHeight="false" outlineLevel="0" collapsed="false">
      <c r="A79" s="51"/>
      <c r="B79" s="52"/>
      <c r="C79" s="52"/>
      <c r="D79" s="32"/>
      <c r="E79" s="13"/>
      <c r="F79" s="32"/>
      <c r="G79" s="32"/>
      <c r="H79" s="53" t="str">
        <f aca="false">IF(OR($E79="",$F79=""),"",$E79*$F79)</f>
        <v/>
      </c>
      <c r="I79" s="53" t="str">
        <f aca="false">IF(OR($E79="",$F79=""),"",$E79*(1+$F79/30))</f>
        <v/>
      </c>
      <c r="J79" s="52"/>
    </row>
    <row r="80" customFormat="false" ht="15" hidden="false" customHeight="false" outlineLevel="0" collapsed="false">
      <c r="A80" s="51"/>
      <c r="B80" s="52"/>
      <c r="C80" s="52"/>
      <c r="D80" s="32"/>
      <c r="E80" s="13"/>
      <c r="F80" s="32"/>
      <c r="G80" s="32"/>
      <c r="H80" s="53" t="str">
        <f aca="false">IF(OR($E80="",$F80=""),"",$E80*$F80)</f>
        <v/>
      </c>
      <c r="I80" s="53" t="str">
        <f aca="false">IF(OR($E80="",$F80=""),"",$E80*(1+$F80/30))</f>
        <v/>
      </c>
      <c r="J80" s="52"/>
    </row>
    <row r="81" customFormat="false" ht="15" hidden="false" customHeight="false" outlineLevel="0" collapsed="false">
      <c r="A81" s="51"/>
      <c r="B81" s="52"/>
      <c r="C81" s="52"/>
      <c r="D81" s="32"/>
      <c r="E81" s="13"/>
      <c r="F81" s="32"/>
      <c r="G81" s="32"/>
      <c r="H81" s="53" t="str">
        <f aca="false">IF(OR($E81="",$F81=""),"",$E81*$F81)</f>
        <v/>
      </c>
      <c r="I81" s="53" t="str">
        <f aca="false">IF(OR($E81="",$F81=""),"",$E81*(1+$F81/30))</f>
        <v/>
      </c>
      <c r="J81" s="52"/>
    </row>
    <row r="82" customFormat="false" ht="15" hidden="false" customHeight="false" outlineLevel="0" collapsed="false">
      <c r="A82" s="51"/>
      <c r="B82" s="52"/>
      <c r="C82" s="52"/>
      <c r="D82" s="32"/>
      <c r="E82" s="13"/>
      <c r="F82" s="32"/>
      <c r="G82" s="32"/>
      <c r="H82" s="53" t="str">
        <f aca="false">IF(OR($E82="",$F82=""),"",$E82*$F82)</f>
        <v/>
      </c>
      <c r="I82" s="53" t="str">
        <f aca="false">IF(OR($E82="",$F82=""),"",$E82*(1+$F82/30))</f>
        <v/>
      </c>
      <c r="J82" s="52"/>
    </row>
    <row r="83" customFormat="false" ht="15" hidden="false" customHeight="false" outlineLevel="0" collapsed="false">
      <c r="A83" s="51"/>
      <c r="B83" s="52"/>
      <c r="C83" s="52"/>
      <c r="D83" s="32"/>
      <c r="E83" s="13"/>
      <c r="F83" s="32"/>
      <c r="G83" s="32"/>
      <c r="H83" s="53" t="str">
        <f aca="false">IF(OR($E83="",$F83=""),"",$E83*$F83)</f>
        <v/>
      </c>
      <c r="I83" s="53" t="str">
        <f aca="false">IF(OR($E83="",$F83=""),"",$E83*(1+$F83/30))</f>
        <v/>
      </c>
      <c r="J83" s="52"/>
    </row>
    <row r="84" customFormat="false" ht="15" hidden="false" customHeight="false" outlineLevel="0" collapsed="false">
      <c r="A84" s="51"/>
      <c r="B84" s="52"/>
      <c r="C84" s="52"/>
      <c r="D84" s="32"/>
      <c r="E84" s="13"/>
      <c r="F84" s="32"/>
      <c r="G84" s="32"/>
      <c r="H84" s="53" t="str">
        <f aca="false">IF(OR($E84="",$F84=""),"",$E84*$F84)</f>
        <v/>
      </c>
      <c r="I84" s="53" t="str">
        <f aca="false">IF(OR($E84="",$F84=""),"",$E84*(1+$F84/30))</f>
        <v/>
      </c>
      <c r="J84" s="52"/>
    </row>
    <row r="85" customFormat="false" ht="15" hidden="false" customHeight="false" outlineLevel="0" collapsed="false">
      <c r="A85" s="51"/>
      <c r="B85" s="52"/>
      <c r="C85" s="52"/>
      <c r="D85" s="32"/>
      <c r="E85" s="13"/>
      <c r="F85" s="32"/>
      <c r="G85" s="32"/>
      <c r="H85" s="53" t="str">
        <f aca="false">IF(OR($E85="",$F85=""),"",$E85*$F85)</f>
        <v/>
      </c>
      <c r="I85" s="53" t="str">
        <f aca="false">IF(OR($E85="",$F85=""),"",$E85*(1+$F85/30))</f>
        <v/>
      </c>
      <c r="J85" s="52"/>
    </row>
    <row r="86" customFormat="false" ht="15" hidden="false" customHeight="false" outlineLevel="0" collapsed="false">
      <c r="A86" s="51"/>
      <c r="B86" s="52"/>
      <c r="C86" s="52"/>
      <c r="D86" s="32"/>
      <c r="E86" s="13"/>
      <c r="F86" s="32"/>
      <c r="G86" s="32"/>
      <c r="H86" s="53" t="str">
        <f aca="false">IF(OR($E86="",$F86=""),"",$E86*$F86)</f>
        <v/>
      </c>
      <c r="I86" s="53" t="str">
        <f aca="false">IF(OR($E86="",$F86=""),"",$E86*(1+$F86/30))</f>
        <v/>
      </c>
      <c r="J86" s="52"/>
    </row>
    <row r="87" customFormat="false" ht="15" hidden="false" customHeight="false" outlineLevel="0" collapsed="false">
      <c r="A87" s="51"/>
      <c r="B87" s="52"/>
      <c r="C87" s="52"/>
      <c r="D87" s="32"/>
      <c r="E87" s="13"/>
      <c r="F87" s="32"/>
      <c r="G87" s="32"/>
      <c r="H87" s="53" t="str">
        <f aca="false">IF(OR($E87="",$F87=""),"",$E87*$F87)</f>
        <v/>
      </c>
      <c r="I87" s="53" t="str">
        <f aca="false">IF(OR($E87="",$F87=""),"",$E87*(1+$F87/30))</f>
        <v/>
      </c>
      <c r="J87" s="52"/>
    </row>
    <row r="88" customFormat="false" ht="15" hidden="false" customHeight="false" outlineLevel="0" collapsed="false">
      <c r="A88" s="51"/>
      <c r="B88" s="52"/>
      <c r="C88" s="52"/>
      <c r="D88" s="32"/>
      <c r="E88" s="13"/>
      <c r="F88" s="32"/>
      <c r="G88" s="32"/>
      <c r="H88" s="53" t="str">
        <f aca="false">IF(OR($E88="",$F88=""),"",$E88*$F88)</f>
        <v/>
      </c>
      <c r="I88" s="53" t="str">
        <f aca="false">IF(OR($E88="",$F88=""),"",$E88*(1+$F88/30))</f>
        <v/>
      </c>
      <c r="J88" s="52"/>
    </row>
    <row r="89" customFormat="false" ht="15" hidden="false" customHeight="false" outlineLevel="0" collapsed="false">
      <c r="A89" s="51"/>
      <c r="B89" s="52"/>
      <c r="C89" s="52"/>
      <c r="D89" s="32"/>
      <c r="E89" s="13"/>
      <c r="F89" s="32"/>
      <c r="G89" s="32"/>
      <c r="H89" s="53" t="str">
        <f aca="false">IF(OR($E89="",$F89=""),"",$E89*$F89)</f>
        <v/>
      </c>
      <c r="I89" s="53" t="str">
        <f aca="false">IF(OR($E89="",$F89=""),"",$E89*(1+$F89/30))</f>
        <v/>
      </c>
      <c r="J89" s="52"/>
    </row>
    <row r="90" customFormat="false" ht="15" hidden="false" customHeight="false" outlineLevel="0" collapsed="false">
      <c r="A90" s="51"/>
      <c r="B90" s="52"/>
      <c r="C90" s="52"/>
      <c r="D90" s="32"/>
      <c r="E90" s="13"/>
      <c r="F90" s="32"/>
      <c r="G90" s="32"/>
      <c r="H90" s="53" t="str">
        <f aca="false">IF(OR($E90="",$F90=""),"",$E90*$F90)</f>
        <v/>
      </c>
      <c r="I90" s="53" t="str">
        <f aca="false">IF(OR($E90="",$F90=""),"",$E90*(1+$F90/30))</f>
        <v/>
      </c>
      <c r="J90" s="52"/>
    </row>
    <row r="91" customFormat="false" ht="15" hidden="false" customHeight="false" outlineLevel="0" collapsed="false">
      <c r="A91" s="51"/>
      <c r="B91" s="52"/>
      <c r="C91" s="52"/>
      <c r="D91" s="32"/>
      <c r="E91" s="13"/>
      <c r="F91" s="32"/>
      <c r="G91" s="32"/>
      <c r="H91" s="53" t="str">
        <f aca="false">IF(OR($E91="",$F91=""),"",$E91*$F91)</f>
        <v/>
      </c>
      <c r="I91" s="53" t="str">
        <f aca="false">IF(OR($E91="",$F91=""),"",$E91*(1+$F91/30))</f>
        <v/>
      </c>
      <c r="J91" s="52"/>
    </row>
    <row r="92" customFormat="false" ht="15" hidden="false" customHeight="false" outlineLevel="0" collapsed="false">
      <c r="A92" s="51"/>
      <c r="B92" s="52"/>
      <c r="C92" s="52"/>
      <c r="D92" s="32"/>
      <c r="E92" s="13"/>
      <c r="F92" s="32"/>
      <c r="G92" s="32"/>
      <c r="H92" s="53" t="str">
        <f aca="false">IF(OR($E92="",$F92=""),"",$E92*$F92)</f>
        <v/>
      </c>
      <c r="I92" s="53" t="str">
        <f aca="false">IF(OR($E92="",$F92=""),"",$E92*(1+$F92/30))</f>
        <v/>
      </c>
      <c r="J92" s="52"/>
    </row>
    <row r="93" customFormat="false" ht="15" hidden="false" customHeight="false" outlineLevel="0" collapsed="false">
      <c r="A93" s="51"/>
      <c r="B93" s="52"/>
      <c r="C93" s="52"/>
      <c r="D93" s="32"/>
      <c r="E93" s="13"/>
      <c r="F93" s="32"/>
      <c r="G93" s="32"/>
      <c r="H93" s="53" t="str">
        <f aca="false">IF(OR($E93="",$F93=""),"",$E93*$F93)</f>
        <v/>
      </c>
      <c r="I93" s="53" t="str">
        <f aca="false">IF(OR($E93="",$F93=""),"",$E93*(1+$F93/30))</f>
        <v/>
      </c>
      <c r="J93" s="52"/>
    </row>
    <row r="94" customFormat="false" ht="15" hidden="false" customHeight="false" outlineLevel="0" collapsed="false">
      <c r="A94" s="51"/>
      <c r="B94" s="52"/>
      <c r="C94" s="52"/>
      <c r="D94" s="32"/>
      <c r="E94" s="13"/>
      <c r="F94" s="32"/>
      <c r="G94" s="32"/>
      <c r="H94" s="53" t="str">
        <f aca="false">IF(OR($E94="",$F94=""),"",$E94*$F94)</f>
        <v/>
      </c>
      <c r="I94" s="53" t="str">
        <f aca="false">IF(OR($E94="",$F94=""),"",$E94*(1+$F94/30))</f>
        <v/>
      </c>
      <c r="J94" s="52"/>
    </row>
    <row r="95" customFormat="false" ht="15" hidden="false" customHeight="false" outlineLevel="0" collapsed="false">
      <c r="A95" s="51"/>
      <c r="B95" s="52"/>
      <c r="C95" s="52"/>
      <c r="D95" s="32"/>
      <c r="E95" s="13"/>
      <c r="F95" s="32"/>
      <c r="G95" s="32"/>
      <c r="H95" s="53" t="str">
        <f aca="false">IF(OR($E95="",$F95=""),"",$E95*$F95)</f>
        <v/>
      </c>
      <c r="I95" s="53" t="str">
        <f aca="false">IF(OR($E95="",$F95=""),"",$E95*(1+$F95/30))</f>
        <v/>
      </c>
      <c r="J95" s="52"/>
    </row>
    <row r="96" customFormat="false" ht="15" hidden="false" customHeight="false" outlineLevel="0" collapsed="false">
      <c r="A96" s="51"/>
      <c r="B96" s="52"/>
      <c r="C96" s="52"/>
      <c r="D96" s="32"/>
      <c r="E96" s="13"/>
      <c r="F96" s="32"/>
      <c r="G96" s="32"/>
      <c r="H96" s="53" t="str">
        <f aca="false">IF(OR($E96="",$F96=""),"",$E96*$F96)</f>
        <v/>
      </c>
      <c r="I96" s="53" t="str">
        <f aca="false">IF(OR($E96="",$F96=""),"",$E96*(1+$F96/30))</f>
        <v/>
      </c>
      <c r="J96" s="52"/>
    </row>
    <row r="97" customFormat="false" ht="15" hidden="false" customHeight="false" outlineLevel="0" collapsed="false">
      <c r="A97" s="51"/>
      <c r="B97" s="52"/>
      <c r="C97" s="52"/>
      <c r="D97" s="32"/>
      <c r="E97" s="13"/>
      <c r="F97" s="32"/>
      <c r="G97" s="32"/>
      <c r="H97" s="53" t="str">
        <f aca="false">IF(OR($E97="",$F97=""),"",$E97*$F97)</f>
        <v/>
      </c>
      <c r="I97" s="53" t="str">
        <f aca="false">IF(OR($E97="",$F97=""),"",$E97*(1+$F97/30))</f>
        <v/>
      </c>
      <c r="J97" s="52"/>
    </row>
    <row r="98" customFormat="false" ht="15" hidden="false" customHeight="false" outlineLevel="0" collapsed="false">
      <c r="A98" s="51"/>
      <c r="B98" s="52"/>
      <c r="C98" s="52"/>
      <c r="D98" s="32"/>
      <c r="E98" s="13"/>
      <c r="F98" s="32"/>
      <c r="G98" s="32"/>
      <c r="H98" s="53" t="str">
        <f aca="false">IF(OR($E98="",$F98=""),"",$E98*$F98)</f>
        <v/>
      </c>
      <c r="I98" s="53" t="str">
        <f aca="false">IF(OR($E98="",$F98=""),"",$E98*(1+$F98/30))</f>
        <v/>
      </c>
      <c r="J98" s="52"/>
    </row>
    <row r="99" customFormat="false" ht="15" hidden="false" customHeight="false" outlineLevel="0" collapsed="false">
      <c r="A99" s="51"/>
      <c r="B99" s="52"/>
      <c r="C99" s="52"/>
      <c r="D99" s="32"/>
      <c r="E99" s="13"/>
      <c r="F99" s="32"/>
      <c r="G99" s="32"/>
      <c r="H99" s="53" t="str">
        <f aca="false">IF(OR($E99="",$F99=""),"",$E99*$F99)</f>
        <v/>
      </c>
      <c r="I99" s="53" t="str">
        <f aca="false">IF(OR($E99="",$F99=""),"",$E99*(1+$F99/30))</f>
        <v/>
      </c>
      <c r="J99" s="52"/>
    </row>
    <row r="100" customFormat="false" ht="15" hidden="false" customHeight="false" outlineLevel="0" collapsed="false">
      <c r="A100" s="51"/>
      <c r="B100" s="52"/>
      <c r="C100" s="52"/>
      <c r="D100" s="32"/>
      <c r="E100" s="13"/>
      <c r="F100" s="32"/>
      <c r="G100" s="32"/>
      <c r="H100" s="53" t="str">
        <f aca="false">IF(OR($E100="",$F100=""),"",$E100*$F100)</f>
        <v/>
      </c>
      <c r="I100" s="53" t="str">
        <f aca="false">IF(OR($E100="",$F100=""),"",$E100*(1+$F100/30))</f>
        <v/>
      </c>
      <c r="J100" s="52"/>
    </row>
    <row r="101" customFormat="false" ht="15" hidden="false" customHeight="false" outlineLevel="0" collapsed="false">
      <c r="A101" s="51"/>
      <c r="B101" s="52"/>
      <c r="C101" s="52"/>
      <c r="D101" s="32"/>
      <c r="E101" s="13"/>
      <c r="F101" s="32"/>
      <c r="G101" s="32"/>
      <c r="H101" s="53" t="str">
        <f aca="false">IF(OR($E101="",$F101=""),"",$E101*$F101)</f>
        <v/>
      </c>
      <c r="I101" s="53" t="str">
        <f aca="false">IF(OR($E101="",$F101=""),"",$E101*(1+$F101/30))</f>
        <v/>
      </c>
      <c r="J101" s="52"/>
    </row>
    <row r="102" customFormat="false" ht="15" hidden="false" customHeight="false" outlineLevel="0" collapsed="false">
      <c r="A102" s="51"/>
      <c r="B102" s="52"/>
      <c r="C102" s="52"/>
      <c r="D102" s="32"/>
      <c r="E102" s="13"/>
      <c r="F102" s="32"/>
      <c r="G102" s="32"/>
      <c r="H102" s="53" t="str">
        <f aca="false">IF(OR($E102="",$F102=""),"",$E102*$F102)</f>
        <v/>
      </c>
      <c r="I102" s="53" t="str">
        <f aca="false">IF(OR($E102="",$F102=""),"",$E102*(1+$F102/30))</f>
        <v/>
      </c>
      <c r="J102" s="52"/>
    </row>
    <row r="103" customFormat="false" ht="15" hidden="false" customHeight="false" outlineLevel="0" collapsed="false">
      <c r="A103" s="51"/>
      <c r="B103" s="52"/>
      <c r="C103" s="52"/>
      <c r="D103" s="32"/>
      <c r="E103" s="13"/>
      <c r="F103" s="32"/>
      <c r="G103" s="32"/>
      <c r="H103" s="53" t="str">
        <f aca="false">IF(OR($E103="",$F103=""),"",$E103*$F103)</f>
        <v/>
      </c>
      <c r="I103" s="53" t="str">
        <f aca="false">IF(OR($E103="",$F103=""),"",$E103*(1+$F103/30))</f>
        <v/>
      </c>
      <c r="J103" s="52"/>
    </row>
    <row r="104" customFormat="false" ht="15" hidden="false" customHeight="false" outlineLevel="0" collapsed="false">
      <c r="A104" s="51"/>
      <c r="B104" s="52"/>
      <c r="C104" s="52"/>
      <c r="D104" s="32"/>
      <c r="E104" s="13"/>
      <c r="F104" s="32"/>
      <c r="G104" s="32"/>
      <c r="H104" s="53" t="str">
        <f aca="false">IF(OR($E104="",$F104=""),"",$E104*$F104)</f>
        <v/>
      </c>
      <c r="I104" s="53" t="str">
        <f aca="false">IF(OR($E104="",$F104=""),"",$E104*(1+$F104/30))</f>
        <v/>
      </c>
      <c r="J104" s="52"/>
    </row>
    <row r="105" customFormat="false" ht="15" hidden="false" customHeight="false" outlineLevel="0" collapsed="false">
      <c r="A105" s="51"/>
      <c r="B105" s="52"/>
      <c r="C105" s="52"/>
      <c r="D105" s="32"/>
      <c r="E105" s="13"/>
      <c r="F105" s="32"/>
      <c r="G105" s="32"/>
      <c r="H105" s="53" t="str">
        <f aca="false">IF(OR($E105="",$F105=""),"",$E105*$F105)</f>
        <v/>
      </c>
      <c r="I105" s="53" t="str">
        <f aca="false">IF(OR($E105="",$F105=""),"",$E105*(1+$F105/30))</f>
        <v/>
      </c>
      <c r="J105" s="52"/>
    </row>
    <row r="106" customFormat="false" ht="15" hidden="false" customHeight="false" outlineLevel="0" collapsed="false">
      <c r="A106" s="51"/>
      <c r="B106" s="52"/>
      <c r="C106" s="52"/>
      <c r="D106" s="32"/>
      <c r="E106" s="13"/>
      <c r="F106" s="32"/>
      <c r="G106" s="32"/>
      <c r="H106" s="53" t="str">
        <f aca="false">IF(OR($E106="",$F106=""),"",$E106*$F106)</f>
        <v/>
      </c>
      <c r="I106" s="53" t="str">
        <f aca="false">IF(OR($E106="",$F106=""),"",$E106*(1+$F106/30))</f>
        <v/>
      </c>
      <c r="J106" s="52"/>
    </row>
    <row r="107" customFormat="false" ht="15" hidden="false" customHeight="false" outlineLevel="0" collapsed="false">
      <c r="A107" s="51"/>
      <c r="B107" s="52"/>
      <c r="C107" s="52"/>
      <c r="D107" s="32"/>
      <c r="E107" s="13"/>
      <c r="F107" s="32"/>
      <c r="G107" s="32"/>
      <c r="H107" s="53" t="str">
        <f aca="false">IF(OR($E107="",$F107=""),"",$E107*$F107)</f>
        <v/>
      </c>
      <c r="I107" s="53" t="str">
        <f aca="false">IF(OR($E107="",$F107=""),"",$E107*(1+$F107/30))</f>
        <v/>
      </c>
      <c r="J107" s="52"/>
    </row>
    <row r="108" customFormat="false" ht="15" hidden="false" customHeight="false" outlineLevel="0" collapsed="false">
      <c r="A108" s="51"/>
      <c r="B108" s="52"/>
      <c r="C108" s="52"/>
      <c r="D108" s="32"/>
      <c r="E108" s="13"/>
      <c r="F108" s="32"/>
      <c r="G108" s="32"/>
      <c r="H108" s="53" t="str">
        <f aca="false">IF(OR($E108="",$F108=""),"",$E108*$F108)</f>
        <v/>
      </c>
      <c r="I108" s="53" t="str">
        <f aca="false">IF(OR($E108="",$F108=""),"",$E108*(1+$F108/30))</f>
        <v/>
      </c>
      <c r="J108" s="52"/>
    </row>
    <row r="109" customFormat="false" ht="15" hidden="false" customHeight="false" outlineLevel="0" collapsed="false">
      <c r="A109" s="51"/>
      <c r="B109" s="52"/>
      <c r="C109" s="52"/>
      <c r="D109" s="32"/>
      <c r="E109" s="13"/>
      <c r="F109" s="32"/>
      <c r="G109" s="32"/>
      <c r="H109" s="53" t="str">
        <f aca="false">IF(OR($E109="",$F109=""),"",$E109*$F109)</f>
        <v/>
      </c>
      <c r="I109" s="53" t="str">
        <f aca="false">IF(OR($E109="",$F109=""),"",$E109*(1+$F109/30))</f>
        <v/>
      </c>
      <c r="J109" s="52"/>
    </row>
    <row r="110" customFormat="false" ht="15" hidden="false" customHeight="false" outlineLevel="0" collapsed="false">
      <c r="A110" s="51"/>
      <c r="B110" s="52"/>
      <c r="C110" s="52"/>
      <c r="D110" s="32"/>
      <c r="E110" s="13"/>
      <c r="F110" s="32"/>
      <c r="G110" s="32"/>
      <c r="H110" s="53" t="str">
        <f aca="false">IF(OR($E110="",$F110=""),"",$E110*$F110)</f>
        <v/>
      </c>
      <c r="I110" s="53" t="str">
        <f aca="false">IF(OR($E110="",$F110=""),"",$E110*(1+$F110/30))</f>
        <v/>
      </c>
      <c r="J110" s="52"/>
    </row>
    <row r="111" customFormat="false" ht="15" hidden="false" customHeight="false" outlineLevel="0" collapsed="false">
      <c r="A111" s="51"/>
      <c r="B111" s="52"/>
      <c r="C111" s="52"/>
      <c r="D111" s="32"/>
      <c r="E111" s="13"/>
      <c r="F111" s="32"/>
      <c r="G111" s="32"/>
      <c r="H111" s="53" t="str">
        <f aca="false">IF(OR($E111="",$F111=""),"",$E111*$F111)</f>
        <v/>
      </c>
      <c r="I111" s="53" t="str">
        <f aca="false">IF(OR($E111="",$F111=""),"",$E111*(1+$F111/30))</f>
        <v/>
      </c>
      <c r="J111" s="52"/>
    </row>
    <row r="112" customFormat="false" ht="15" hidden="false" customHeight="false" outlineLevel="0" collapsed="false">
      <c r="A112" s="51"/>
      <c r="B112" s="52"/>
      <c r="C112" s="52"/>
      <c r="D112" s="32"/>
      <c r="E112" s="13"/>
      <c r="F112" s="32"/>
      <c r="G112" s="32"/>
      <c r="H112" s="53" t="str">
        <f aca="false">IF(OR($E112="",$F112=""),"",$E112*$F112)</f>
        <v/>
      </c>
      <c r="I112" s="53" t="str">
        <f aca="false">IF(OR($E112="",$F112=""),"",$E112*(1+$F112/30))</f>
        <v/>
      </c>
      <c r="J112" s="52"/>
    </row>
    <row r="113" customFormat="false" ht="15" hidden="false" customHeight="false" outlineLevel="0" collapsed="false">
      <c r="A113" s="51"/>
      <c r="B113" s="52"/>
      <c r="C113" s="52"/>
      <c r="D113" s="32"/>
      <c r="E113" s="13"/>
      <c r="F113" s="32"/>
      <c r="G113" s="32"/>
      <c r="H113" s="53" t="str">
        <f aca="false">IF(OR($E113="",$F113=""),"",$E113*$F113)</f>
        <v/>
      </c>
      <c r="I113" s="53" t="str">
        <f aca="false">IF(OR($E113="",$F113=""),"",$E113*(1+$F113/30))</f>
        <v/>
      </c>
      <c r="J113" s="52"/>
    </row>
    <row r="114" customFormat="false" ht="15" hidden="false" customHeight="false" outlineLevel="0" collapsed="false">
      <c r="A114" s="51"/>
      <c r="B114" s="52"/>
      <c r="C114" s="52"/>
      <c r="D114" s="32"/>
      <c r="E114" s="13"/>
      <c r="F114" s="32"/>
      <c r="G114" s="32"/>
      <c r="H114" s="53" t="str">
        <f aca="false">IF(OR($E114="",$F114=""),"",$E114*$F114)</f>
        <v/>
      </c>
      <c r="I114" s="53" t="str">
        <f aca="false">IF(OR($E114="",$F114=""),"",$E114*(1+$F114/30))</f>
        <v/>
      </c>
      <c r="J114" s="52"/>
    </row>
    <row r="115" customFormat="false" ht="15" hidden="false" customHeight="false" outlineLevel="0" collapsed="false">
      <c r="A115" s="51"/>
      <c r="B115" s="52"/>
      <c r="C115" s="52"/>
      <c r="D115" s="32"/>
      <c r="E115" s="13"/>
      <c r="F115" s="32"/>
      <c r="G115" s="32"/>
      <c r="H115" s="53" t="str">
        <f aca="false">IF(OR($E115="",$F115=""),"",$E115*$F115)</f>
        <v/>
      </c>
      <c r="I115" s="53" t="str">
        <f aca="false">IF(OR($E115="",$F115=""),"",$E115*(1+$F115/30))</f>
        <v/>
      </c>
      <c r="J115" s="52"/>
    </row>
    <row r="116" customFormat="false" ht="15" hidden="false" customHeight="false" outlineLevel="0" collapsed="false">
      <c r="A116" s="51"/>
      <c r="B116" s="52"/>
      <c r="C116" s="52"/>
      <c r="D116" s="32"/>
      <c r="E116" s="13"/>
      <c r="F116" s="32"/>
      <c r="G116" s="32"/>
      <c r="H116" s="53" t="str">
        <f aca="false">IF(OR($E116="",$F116=""),"",$E116*$F116)</f>
        <v/>
      </c>
      <c r="I116" s="53" t="str">
        <f aca="false">IF(OR($E116="",$F116=""),"",$E116*(1+$F116/30))</f>
        <v/>
      </c>
      <c r="J116" s="52"/>
    </row>
    <row r="117" customFormat="false" ht="15" hidden="false" customHeight="false" outlineLevel="0" collapsed="false">
      <c r="A117" s="51"/>
      <c r="B117" s="52"/>
      <c r="C117" s="52"/>
      <c r="D117" s="32"/>
      <c r="E117" s="13"/>
      <c r="F117" s="32"/>
      <c r="G117" s="32"/>
      <c r="H117" s="53" t="str">
        <f aca="false">IF(OR($E117="",$F117=""),"",$E117*$F117)</f>
        <v/>
      </c>
      <c r="I117" s="53" t="str">
        <f aca="false">IF(OR($E117="",$F117=""),"",$E117*(1+$F117/30))</f>
        <v/>
      </c>
      <c r="J117" s="52"/>
    </row>
    <row r="118" customFormat="false" ht="15" hidden="false" customHeight="false" outlineLevel="0" collapsed="false">
      <c r="A118" s="51"/>
      <c r="B118" s="52"/>
      <c r="C118" s="52"/>
      <c r="D118" s="32"/>
      <c r="E118" s="13"/>
      <c r="F118" s="32"/>
      <c r="G118" s="32"/>
      <c r="H118" s="53" t="str">
        <f aca="false">IF(OR($E118="",$F118=""),"",$E118*$F118)</f>
        <v/>
      </c>
      <c r="I118" s="53" t="str">
        <f aca="false">IF(OR($E118="",$F118=""),"",$E118*(1+$F118/30))</f>
        <v/>
      </c>
      <c r="J118" s="52"/>
    </row>
    <row r="119" customFormat="false" ht="15" hidden="false" customHeight="false" outlineLevel="0" collapsed="false">
      <c r="A119" s="51"/>
      <c r="B119" s="52"/>
      <c r="C119" s="52"/>
      <c r="D119" s="32"/>
      <c r="E119" s="13"/>
      <c r="F119" s="32"/>
      <c r="G119" s="32"/>
      <c r="H119" s="53" t="str">
        <f aca="false">IF(OR($E119="",$F119=""),"",$E119*$F119)</f>
        <v/>
      </c>
      <c r="I119" s="53" t="str">
        <f aca="false">IF(OR($E119="",$F119=""),"",$E119*(1+$F119/30))</f>
        <v/>
      </c>
      <c r="J119" s="52"/>
    </row>
    <row r="120" customFormat="false" ht="15" hidden="false" customHeight="false" outlineLevel="0" collapsed="false">
      <c r="A120" s="51"/>
      <c r="B120" s="52"/>
      <c r="C120" s="52"/>
      <c r="D120" s="32"/>
      <c r="E120" s="13"/>
      <c r="F120" s="32"/>
      <c r="G120" s="32"/>
      <c r="H120" s="53" t="str">
        <f aca="false">IF(OR($E120="",$F120=""),"",$E120*$F120)</f>
        <v/>
      </c>
      <c r="I120" s="53" t="str">
        <f aca="false">IF(OR($E120="",$F120=""),"",$E120*(1+$F120/30))</f>
        <v/>
      </c>
      <c r="J120" s="52"/>
    </row>
    <row r="121" customFormat="false" ht="15" hidden="false" customHeight="false" outlineLevel="0" collapsed="false">
      <c r="A121" s="51"/>
      <c r="B121" s="52"/>
      <c r="C121" s="52"/>
      <c r="D121" s="32"/>
      <c r="E121" s="13"/>
      <c r="F121" s="32"/>
      <c r="G121" s="32"/>
      <c r="H121" s="53" t="str">
        <f aca="false">IF(OR($E121="",$F121=""),"",$E121*$F121)</f>
        <v/>
      </c>
      <c r="I121" s="53" t="str">
        <f aca="false">IF(OR($E121="",$F121=""),"",$E121*(1+$F121/30))</f>
        <v/>
      </c>
      <c r="J121" s="52"/>
    </row>
    <row r="122" customFormat="false" ht="15" hidden="false" customHeight="false" outlineLevel="0" collapsed="false">
      <c r="A122" s="51"/>
      <c r="B122" s="52"/>
      <c r="C122" s="52"/>
      <c r="D122" s="32"/>
      <c r="E122" s="13"/>
      <c r="F122" s="32"/>
      <c r="G122" s="32"/>
      <c r="H122" s="53" t="str">
        <f aca="false">IF(OR($E122="",$F122=""),"",$E122*$F122)</f>
        <v/>
      </c>
      <c r="I122" s="53" t="str">
        <f aca="false">IF(OR($E122="",$F122=""),"",$E122*(1+$F122/30))</f>
        <v/>
      </c>
      <c r="J122" s="52"/>
    </row>
    <row r="123" customFormat="false" ht="15" hidden="false" customHeight="false" outlineLevel="0" collapsed="false">
      <c r="A123" s="51"/>
      <c r="B123" s="52"/>
      <c r="C123" s="52"/>
      <c r="D123" s="32"/>
      <c r="E123" s="13"/>
      <c r="F123" s="32"/>
      <c r="G123" s="32"/>
      <c r="H123" s="53" t="str">
        <f aca="false">IF(OR($E123="",$F123=""),"",$E123*$F123)</f>
        <v/>
      </c>
      <c r="I123" s="53" t="str">
        <f aca="false">IF(OR($E123="",$F123=""),"",$E123*(1+$F123/30))</f>
        <v/>
      </c>
      <c r="J123" s="52"/>
    </row>
    <row r="124" customFormat="false" ht="15" hidden="false" customHeight="false" outlineLevel="0" collapsed="false">
      <c r="A124" s="51"/>
      <c r="B124" s="52"/>
      <c r="C124" s="52"/>
      <c r="D124" s="32"/>
      <c r="E124" s="13"/>
      <c r="F124" s="32"/>
      <c r="G124" s="32"/>
      <c r="H124" s="53" t="str">
        <f aca="false">IF(OR($E124="",$F124=""),"",$E124*$F124)</f>
        <v/>
      </c>
      <c r="I124" s="53" t="str">
        <f aca="false">IF(OR($E124="",$F124=""),"",$E124*(1+$F124/30))</f>
        <v/>
      </c>
      <c r="J124" s="52"/>
    </row>
    <row r="125" customFormat="false" ht="15" hidden="false" customHeight="false" outlineLevel="0" collapsed="false">
      <c r="A125" s="51"/>
      <c r="B125" s="52"/>
      <c r="C125" s="52"/>
      <c r="D125" s="32"/>
      <c r="E125" s="13"/>
      <c r="F125" s="32"/>
      <c r="G125" s="32"/>
      <c r="H125" s="53" t="str">
        <f aca="false">IF(OR($E125="",$F125=""),"",$E125*$F125)</f>
        <v/>
      </c>
      <c r="I125" s="53" t="str">
        <f aca="false">IF(OR($E125="",$F125=""),"",$E125*(1+$F125/30))</f>
        <v/>
      </c>
      <c r="J125" s="52"/>
    </row>
    <row r="126" customFormat="false" ht="15" hidden="false" customHeight="false" outlineLevel="0" collapsed="false">
      <c r="A126" s="51"/>
      <c r="B126" s="52"/>
      <c r="C126" s="52"/>
      <c r="D126" s="32"/>
      <c r="E126" s="13"/>
      <c r="F126" s="32"/>
      <c r="G126" s="32"/>
      <c r="H126" s="53" t="str">
        <f aca="false">IF(OR($E126="",$F126=""),"",$E126*$F126)</f>
        <v/>
      </c>
      <c r="I126" s="53" t="str">
        <f aca="false">IF(OR($E126="",$F126=""),"",$E126*(1+$F126/30))</f>
        <v/>
      </c>
      <c r="J126" s="52"/>
    </row>
    <row r="127" customFormat="false" ht="15" hidden="false" customHeight="false" outlineLevel="0" collapsed="false">
      <c r="A127" s="51"/>
      <c r="B127" s="52"/>
      <c r="C127" s="52"/>
      <c r="D127" s="32"/>
      <c r="E127" s="13"/>
      <c r="F127" s="32"/>
      <c r="G127" s="32"/>
      <c r="H127" s="53" t="str">
        <f aca="false">IF(OR($E127="",$F127=""),"",$E127*$F127)</f>
        <v/>
      </c>
      <c r="I127" s="53" t="str">
        <f aca="false">IF(OR($E127="",$F127=""),"",$E127*(1+$F127/30))</f>
        <v/>
      </c>
      <c r="J127" s="52"/>
    </row>
    <row r="128" customFormat="false" ht="15" hidden="false" customHeight="false" outlineLevel="0" collapsed="false">
      <c r="A128" s="51"/>
      <c r="B128" s="52"/>
      <c r="C128" s="52"/>
      <c r="D128" s="32"/>
      <c r="E128" s="13"/>
      <c r="F128" s="32"/>
      <c r="G128" s="32"/>
      <c r="H128" s="53" t="str">
        <f aca="false">IF(OR($E128="",$F128=""),"",$E128*$F128)</f>
        <v/>
      </c>
      <c r="I128" s="53" t="str">
        <f aca="false">IF(OR($E128="",$F128=""),"",$E128*(1+$F128/30))</f>
        <v/>
      </c>
      <c r="J128" s="52"/>
    </row>
    <row r="129" customFormat="false" ht="15" hidden="false" customHeight="false" outlineLevel="0" collapsed="false">
      <c r="A129" s="51"/>
      <c r="B129" s="52"/>
      <c r="C129" s="52"/>
      <c r="D129" s="32"/>
      <c r="E129" s="13"/>
      <c r="F129" s="32"/>
      <c r="G129" s="32"/>
      <c r="H129" s="53" t="str">
        <f aca="false">IF(OR($E129="",$F129=""),"",$E129*$F129)</f>
        <v/>
      </c>
      <c r="I129" s="53" t="str">
        <f aca="false">IF(OR($E129="",$F129=""),"",$E129*(1+$F129/30))</f>
        <v/>
      </c>
      <c r="J129" s="52"/>
    </row>
    <row r="130" customFormat="false" ht="15" hidden="false" customHeight="false" outlineLevel="0" collapsed="false">
      <c r="A130" s="51"/>
      <c r="B130" s="52"/>
      <c r="C130" s="52"/>
      <c r="D130" s="32"/>
      <c r="E130" s="13"/>
      <c r="F130" s="32"/>
      <c r="G130" s="32"/>
      <c r="H130" s="53" t="str">
        <f aca="false">IF(OR($E130="",$F130=""),"",$E130*$F130)</f>
        <v/>
      </c>
      <c r="I130" s="53" t="str">
        <f aca="false">IF(OR($E130="",$F130=""),"",$E130*(1+$F130/30))</f>
        <v/>
      </c>
      <c r="J130" s="52"/>
    </row>
    <row r="131" customFormat="false" ht="15" hidden="false" customHeight="false" outlineLevel="0" collapsed="false">
      <c r="A131" s="51"/>
      <c r="B131" s="52"/>
      <c r="C131" s="52"/>
      <c r="D131" s="32"/>
      <c r="E131" s="13"/>
      <c r="F131" s="32"/>
      <c r="G131" s="32"/>
      <c r="H131" s="53" t="str">
        <f aca="false">IF(OR($E131="",$F131=""),"",$E131*$F131)</f>
        <v/>
      </c>
      <c r="I131" s="53" t="str">
        <f aca="false">IF(OR($E131="",$F131=""),"",$E131*(1+$F131/30))</f>
        <v/>
      </c>
      <c r="J131" s="52"/>
    </row>
    <row r="132" customFormat="false" ht="15" hidden="false" customHeight="false" outlineLevel="0" collapsed="false">
      <c r="A132" s="51"/>
      <c r="B132" s="52"/>
      <c r="C132" s="52"/>
      <c r="D132" s="32"/>
      <c r="E132" s="13"/>
      <c r="F132" s="32"/>
      <c r="G132" s="32"/>
      <c r="H132" s="53" t="str">
        <f aca="false">IF(OR($E132="",$F132=""),"",$E132*$F132)</f>
        <v/>
      </c>
      <c r="I132" s="53" t="str">
        <f aca="false">IF(OR($E132="",$F132=""),"",$E132*(1+$F132/30))</f>
        <v/>
      </c>
      <c r="J132" s="52"/>
    </row>
    <row r="133" customFormat="false" ht="15" hidden="false" customHeight="false" outlineLevel="0" collapsed="false">
      <c r="A133" s="51"/>
      <c r="B133" s="52"/>
      <c r="C133" s="52"/>
      <c r="D133" s="32"/>
      <c r="E133" s="13"/>
      <c r="F133" s="32"/>
      <c r="G133" s="32"/>
      <c r="H133" s="53" t="str">
        <f aca="false">IF(OR($E133="",$F133=""),"",$E133*$F133)</f>
        <v/>
      </c>
      <c r="I133" s="53" t="str">
        <f aca="false">IF(OR($E133="",$F133=""),"",$E133*(1+$F133/30))</f>
        <v/>
      </c>
      <c r="J133" s="52"/>
    </row>
    <row r="134" customFormat="false" ht="15" hidden="false" customHeight="false" outlineLevel="0" collapsed="false">
      <c r="A134" s="51"/>
      <c r="B134" s="52"/>
      <c r="C134" s="52"/>
      <c r="D134" s="32"/>
      <c r="E134" s="13"/>
      <c r="F134" s="32"/>
      <c r="G134" s="32"/>
      <c r="H134" s="53" t="str">
        <f aca="false">IF(OR($E134="",$F134=""),"",$E134*$F134)</f>
        <v/>
      </c>
      <c r="I134" s="53" t="str">
        <f aca="false">IF(OR($E134="",$F134=""),"",$E134*(1+$F134/30))</f>
        <v/>
      </c>
      <c r="J134" s="52"/>
    </row>
    <row r="135" customFormat="false" ht="15" hidden="false" customHeight="false" outlineLevel="0" collapsed="false">
      <c r="A135" s="51"/>
      <c r="B135" s="52"/>
      <c r="C135" s="52"/>
      <c r="D135" s="32"/>
      <c r="E135" s="13"/>
      <c r="F135" s="32"/>
      <c r="G135" s="32"/>
      <c r="H135" s="53" t="str">
        <f aca="false">IF(OR($E135="",$F135=""),"",$E135*$F135)</f>
        <v/>
      </c>
      <c r="I135" s="53" t="str">
        <f aca="false">IF(OR($E135="",$F135=""),"",$E135*(1+$F135/30))</f>
        <v/>
      </c>
      <c r="J135" s="52"/>
    </row>
    <row r="136" customFormat="false" ht="15" hidden="false" customHeight="false" outlineLevel="0" collapsed="false">
      <c r="A136" s="51"/>
      <c r="B136" s="52"/>
      <c r="C136" s="52"/>
      <c r="D136" s="32"/>
      <c r="E136" s="13"/>
      <c r="F136" s="32"/>
      <c r="G136" s="32"/>
      <c r="H136" s="53" t="str">
        <f aca="false">IF(OR($E136="",$F136=""),"",$E136*$F136)</f>
        <v/>
      </c>
      <c r="I136" s="53" t="str">
        <f aca="false">IF(OR($E136="",$F136=""),"",$E136*(1+$F136/30))</f>
        <v/>
      </c>
      <c r="J136" s="52"/>
    </row>
    <row r="137" customFormat="false" ht="15" hidden="false" customHeight="false" outlineLevel="0" collapsed="false">
      <c r="A137" s="51"/>
      <c r="B137" s="52"/>
      <c r="C137" s="52"/>
      <c r="D137" s="32"/>
      <c r="E137" s="13"/>
      <c r="F137" s="32"/>
      <c r="G137" s="32"/>
      <c r="H137" s="53" t="str">
        <f aca="false">IF(OR($E137="",$F137=""),"",$E137*$F137)</f>
        <v/>
      </c>
      <c r="I137" s="53" t="str">
        <f aca="false">IF(OR($E137="",$F137=""),"",$E137*(1+$F137/30))</f>
        <v/>
      </c>
      <c r="J137" s="52"/>
    </row>
    <row r="138" customFormat="false" ht="15" hidden="false" customHeight="false" outlineLevel="0" collapsed="false">
      <c r="A138" s="51"/>
      <c r="B138" s="52"/>
      <c r="C138" s="52"/>
      <c r="D138" s="32"/>
      <c r="E138" s="13"/>
      <c r="F138" s="32"/>
      <c r="G138" s="32"/>
      <c r="H138" s="53" t="str">
        <f aca="false">IF(OR($E138="",$F138=""),"",$E138*$F138)</f>
        <v/>
      </c>
      <c r="I138" s="53" t="str">
        <f aca="false">IF(OR($E138="",$F138=""),"",$E138*(1+$F138/30))</f>
        <v/>
      </c>
      <c r="J138" s="52"/>
    </row>
    <row r="139" customFormat="false" ht="15" hidden="false" customHeight="false" outlineLevel="0" collapsed="false">
      <c r="A139" s="51"/>
      <c r="B139" s="52"/>
      <c r="C139" s="52"/>
      <c r="D139" s="32"/>
      <c r="E139" s="13"/>
      <c r="F139" s="32"/>
      <c r="G139" s="32"/>
      <c r="H139" s="53" t="str">
        <f aca="false">IF(OR($E139="",$F139=""),"",$E139*$F139)</f>
        <v/>
      </c>
      <c r="I139" s="53" t="str">
        <f aca="false">IF(OR($E139="",$F139=""),"",$E139*(1+$F139/30))</f>
        <v/>
      </c>
      <c r="J139" s="52"/>
    </row>
    <row r="140" customFormat="false" ht="15" hidden="false" customHeight="false" outlineLevel="0" collapsed="false">
      <c r="A140" s="51"/>
      <c r="B140" s="52"/>
      <c r="C140" s="52"/>
      <c r="D140" s="32"/>
      <c r="E140" s="13"/>
      <c r="F140" s="32"/>
      <c r="G140" s="32"/>
      <c r="H140" s="53" t="str">
        <f aca="false">IF(OR($E140="",$F140=""),"",$E140*$F140)</f>
        <v/>
      </c>
      <c r="I140" s="53" t="str">
        <f aca="false">IF(OR($E140="",$F140=""),"",$E140*(1+$F140/30))</f>
        <v/>
      </c>
      <c r="J140" s="52"/>
    </row>
    <row r="141" customFormat="false" ht="15" hidden="false" customHeight="false" outlineLevel="0" collapsed="false">
      <c r="A141" s="51"/>
      <c r="B141" s="52"/>
      <c r="C141" s="52"/>
      <c r="D141" s="32"/>
      <c r="E141" s="13"/>
      <c r="F141" s="32"/>
      <c r="G141" s="32"/>
      <c r="H141" s="53" t="str">
        <f aca="false">IF(OR($E141="",$F141=""),"",$E141*$F141)</f>
        <v/>
      </c>
      <c r="I141" s="53" t="str">
        <f aca="false">IF(OR($E141="",$F141=""),"",$E141*(1+$F141/30))</f>
        <v/>
      </c>
      <c r="J141" s="52"/>
    </row>
    <row r="142" customFormat="false" ht="15" hidden="false" customHeight="false" outlineLevel="0" collapsed="false">
      <c r="A142" s="51"/>
      <c r="B142" s="52"/>
      <c r="C142" s="52"/>
      <c r="D142" s="32"/>
      <c r="E142" s="13"/>
      <c r="F142" s="32"/>
      <c r="G142" s="32"/>
      <c r="H142" s="53" t="str">
        <f aca="false">IF(OR($E142="",$F142=""),"",$E142*$F142)</f>
        <v/>
      </c>
      <c r="I142" s="53" t="str">
        <f aca="false">IF(OR($E142="",$F142=""),"",$E142*(1+$F142/30))</f>
        <v/>
      </c>
      <c r="J142" s="52"/>
    </row>
    <row r="143" customFormat="false" ht="15" hidden="false" customHeight="false" outlineLevel="0" collapsed="false">
      <c r="A143" s="51"/>
      <c r="B143" s="52"/>
      <c r="C143" s="52"/>
      <c r="D143" s="32"/>
      <c r="E143" s="13"/>
      <c r="F143" s="32"/>
      <c r="G143" s="32"/>
      <c r="H143" s="53" t="str">
        <f aca="false">IF(OR($E143="",$F143=""),"",$E143*$F143)</f>
        <v/>
      </c>
      <c r="I143" s="53" t="str">
        <f aca="false">IF(OR($E143="",$F143=""),"",$E143*(1+$F143/30))</f>
        <v/>
      </c>
      <c r="J143" s="52"/>
    </row>
    <row r="144" customFormat="false" ht="15" hidden="false" customHeight="false" outlineLevel="0" collapsed="false">
      <c r="A144" s="51"/>
      <c r="B144" s="52"/>
      <c r="C144" s="52"/>
      <c r="D144" s="32"/>
      <c r="E144" s="13"/>
      <c r="F144" s="32"/>
      <c r="G144" s="32"/>
      <c r="H144" s="53" t="str">
        <f aca="false">IF(OR($E144="",$F144=""),"",$E144*$F144)</f>
        <v/>
      </c>
      <c r="I144" s="53" t="str">
        <f aca="false">IF(OR($E144="",$F144=""),"",$E144*(1+$F144/30))</f>
        <v/>
      </c>
      <c r="J144" s="52"/>
    </row>
    <row r="145" customFormat="false" ht="15" hidden="false" customHeight="false" outlineLevel="0" collapsed="false">
      <c r="A145" s="51"/>
      <c r="B145" s="52"/>
      <c r="C145" s="52"/>
      <c r="D145" s="32"/>
      <c r="E145" s="13"/>
      <c r="F145" s="32"/>
      <c r="G145" s="32"/>
      <c r="H145" s="53" t="str">
        <f aca="false">IF(OR($E145="",$F145=""),"",$E145*$F145)</f>
        <v/>
      </c>
      <c r="I145" s="53" t="str">
        <f aca="false">IF(OR($E145="",$F145=""),"",$E145*(1+$F145/30))</f>
        <v/>
      </c>
      <c r="J145" s="52"/>
    </row>
    <row r="146" customFormat="false" ht="15" hidden="false" customHeight="false" outlineLevel="0" collapsed="false">
      <c r="A146" s="51"/>
      <c r="B146" s="52"/>
      <c r="C146" s="52"/>
      <c r="D146" s="32"/>
      <c r="E146" s="13"/>
      <c r="F146" s="32"/>
      <c r="G146" s="32"/>
      <c r="H146" s="53" t="str">
        <f aca="false">IF(OR($E146="",$F146=""),"",$E146*$F146)</f>
        <v/>
      </c>
      <c r="I146" s="53" t="str">
        <f aca="false">IF(OR($E146="",$F146=""),"",$E146*(1+$F146/30))</f>
        <v/>
      </c>
      <c r="J146" s="52"/>
    </row>
    <row r="147" customFormat="false" ht="15" hidden="false" customHeight="false" outlineLevel="0" collapsed="false">
      <c r="A147" s="51"/>
      <c r="B147" s="52"/>
      <c r="C147" s="52"/>
      <c r="D147" s="32"/>
      <c r="E147" s="13"/>
      <c r="F147" s="32"/>
      <c r="G147" s="32"/>
      <c r="H147" s="53" t="str">
        <f aca="false">IF(OR($E147="",$F147=""),"",$E147*$F147)</f>
        <v/>
      </c>
      <c r="I147" s="53" t="str">
        <f aca="false">IF(OR($E147="",$F147=""),"",$E147*(1+$F147/30))</f>
        <v/>
      </c>
      <c r="J147" s="52"/>
    </row>
    <row r="148" customFormat="false" ht="15" hidden="false" customHeight="false" outlineLevel="0" collapsed="false">
      <c r="A148" s="51"/>
      <c r="B148" s="52"/>
      <c r="C148" s="52"/>
      <c r="D148" s="32"/>
      <c r="E148" s="13"/>
      <c r="F148" s="32"/>
      <c r="G148" s="32"/>
      <c r="H148" s="53" t="str">
        <f aca="false">IF(OR($E148="",$F148=""),"",$E148*$F148)</f>
        <v/>
      </c>
      <c r="I148" s="53" t="str">
        <f aca="false">IF(OR($E148="",$F148=""),"",$E148*(1+$F148/30))</f>
        <v/>
      </c>
      <c r="J148" s="52"/>
    </row>
    <row r="149" customFormat="false" ht="15" hidden="false" customHeight="false" outlineLevel="0" collapsed="false">
      <c r="A149" s="51"/>
      <c r="B149" s="52"/>
      <c r="C149" s="52"/>
      <c r="D149" s="32"/>
      <c r="E149" s="13"/>
      <c r="F149" s="32"/>
      <c r="G149" s="32"/>
      <c r="H149" s="53" t="str">
        <f aca="false">IF(OR($E149="",$F149=""),"",$E149*$F149)</f>
        <v/>
      </c>
      <c r="I149" s="53" t="str">
        <f aca="false">IF(OR($E149="",$F149=""),"",$E149*(1+$F149/30))</f>
        <v/>
      </c>
      <c r="J149" s="52"/>
    </row>
    <row r="150" customFormat="false" ht="15" hidden="false" customHeight="false" outlineLevel="0" collapsed="false">
      <c r="A150" s="51"/>
      <c r="B150" s="52"/>
      <c r="C150" s="52"/>
      <c r="D150" s="32"/>
      <c r="E150" s="13"/>
      <c r="F150" s="32"/>
      <c r="G150" s="32"/>
      <c r="H150" s="53" t="str">
        <f aca="false">IF(OR($E150="",$F150=""),"",$E150*$F150)</f>
        <v/>
      </c>
      <c r="I150" s="53" t="str">
        <f aca="false">IF(OR($E150="",$F150=""),"",$E150*(1+$F150/30))</f>
        <v/>
      </c>
      <c r="J150" s="52"/>
    </row>
    <row r="151" customFormat="false" ht="15" hidden="false" customHeight="false" outlineLevel="0" collapsed="false">
      <c r="A151" s="51"/>
      <c r="B151" s="52"/>
      <c r="C151" s="52"/>
      <c r="D151" s="32"/>
      <c r="E151" s="13"/>
      <c r="F151" s="32"/>
      <c r="G151" s="32"/>
      <c r="H151" s="53" t="str">
        <f aca="false">IF(OR($E151="",$F151=""),"",$E151*$F151)</f>
        <v/>
      </c>
      <c r="I151" s="53" t="str">
        <f aca="false">IF(OR($E151="",$F151=""),"",$E151*(1+$F151/30))</f>
        <v/>
      </c>
      <c r="J151" s="52"/>
    </row>
    <row r="152" customFormat="false" ht="15" hidden="false" customHeight="false" outlineLevel="0" collapsed="false">
      <c r="A152" s="51"/>
      <c r="B152" s="52"/>
      <c r="C152" s="52"/>
      <c r="D152" s="32"/>
      <c r="E152" s="13"/>
      <c r="F152" s="32"/>
      <c r="G152" s="32"/>
      <c r="H152" s="53" t="str">
        <f aca="false">IF(OR($E152="",$F152=""),"",$E152*$F152)</f>
        <v/>
      </c>
      <c r="I152" s="53" t="str">
        <f aca="false">IF(OR($E152="",$F152=""),"",$E152*(1+$F152/30))</f>
        <v/>
      </c>
      <c r="J152" s="52"/>
    </row>
    <row r="153" customFormat="false" ht="15" hidden="false" customHeight="false" outlineLevel="0" collapsed="false">
      <c r="A153" s="51"/>
      <c r="B153" s="52"/>
      <c r="C153" s="52"/>
      <c r="D153" s="32"/>
      <c r="E153" s="13"/>
      <c r="F153" s="32"/>
      <c r="G153" s="32"/>
      <c r="H153" s="53" t="str">
        <f aca="false">IF(OR($E153="",$F153=""),"",$E153*$F153)</f>
        <v/>
      </c>
      <c r="I153" s="53" t="str">
        <f aca="false">IF(OR($E153="",$F153=""),"",$E153*(1+$F153/30))</f>
        <v/>
      </c>
      <c r="J153" s="52"/>
    </row>
    <row r="154" customFormat="false" ht="15" hidden="false" customHeight="false" outlineLevel="0" collapsed="false">
      <c r="A154" s="51"/>
      <c r="B154" s="52"/>
      <c r="C154" s="52"/>
      <c r="D154" s="32"/>
      <c r="E154" s="13"/>
      <c r="F154" s="32"/>
      <c r="G154" s="32"/>
      <c r="H154" s="53" t="str">
        <f aca="false">IF(OR($E154="",$F154=""),"",$E154*$F154)</f>
        <v/>
      </c>
      <c r="I154" s="53" t="str">
        <f aca="false">IF(OR($E154="",$F154=""),"",$E154*(1+$F154/30))</f>
        <v/>
      </c>
      <c r="J154" s="52"/>
    </row>
    <row r="155" customFormat="false" ht="15" hidden="false" customHeight="false" outlineLevel="0" collapsed="false">
      <c r="A155" s="51"/>
      <c r="B155" s="52"/>
      <c r="C155" s="52"/>
      <c r="D155" s="32"/>
      <c r="E155" s="13"/>
      <c r="F155" s="32"/>
      <c r="G155" s="32"/>
      <c r="H155" s="53" t="str">
        <f aca="false">IF(OR($E155="",$F155=""),"",$E155*$F155)</f>
        <v/>
      </c>
      <c r="I155" s="53" t="str">
        <f aca="false">IF(OR($E155="",$F155=""),"",$E155*(1+$F155/30))</f>
        <v/>
      </c>
      <c r="J155" s="52"/>
    </row>
    <row r="156" customFormat="false" ht="15" hidden="false" customHeight="false" outlineLevel="0" collapsed="false">
      <c r="A156" s="51"/>
      <c r="B156" s="52"/>
      <c r="C156" s="52"/>
      <c r="D156" s="32"/>
      <c r="E156" s="13"/>
      <c r="F156" s="32"/>
      <c r="G156" s="32"/>
      <c r="H156" s="53" t="str">
        <f aca="false">IF(OR($E156="",$F156=""),"",$E156*$F156)</f>
        <v/>
      </c>
      <c r="I156" s="53" t="str">
        <f aca="false">IF(OR($E156="",$F156=""),"",$E156*(1+$F156/30))</f>
        <v/>
      </c>
      <c r="J156" s="52"/>
    </row>
    <row r="157" customFormat="false" ht="15" hidden="false" customHeight="false" outlineLevel="0" collapsed="false">
      <c r="A157" s="51"/>
      <c r="B157" s="52"/>
      <c r="C157" s="52"/>
      <c r="D157" s="32"/>
      <c r="E157" s="13"/>
      <c r="F157" s="32"/>
      <c r="G157" s="32"/>
      <c r="H157" s="53" t="str">
        <f aca="false">IF(OR($E157="",$F157=""),"",$E157*$F157)</f>
        <v/>
      </c>
      <c r="I157" s="53" t="str">
        <f aca="false">IF(OR($E157="",$F157=""),"",$E157*(1+$F157/30))</f>
        <v/>
      </c>
      <c r="J157" s="52"/>
    </row>
    <row r="158" customFormat="false" ht="15" hidden="false" customHeight="false" outlineLevel="0" collapsed="false">
      <c r="A158" s="51"/>
      <c r="B158" s="52"/>
      <c r="C158" s="52"/>
      <c r="D158" s="32"/>
      <c r="E158" s="13"/>
      <c r="F158" s="32"/>
      <c r="G158" s="32"/>
      <c r="H158" s="53" t="str">
        <f aca="false">IF(OR($E158="",$F158=""),"",$E158*$F158)</f>
        <v/>
      </c>
      <c r="I158" s="53" t="str">
        <f aca="false">IF(OR($E158="",$F158=""),"",$E158*(1+$F158/30))</f>
        <v/>
      </c>
      <c r="J158" s="52"/>
    </row>
    <row r="159" customFormat="false" ht="15" hidden="false" customHeight="false" outlineLevel="0" collapsed="false">
      <c r="A159" s="51"/>
      <c r="B159" s="52"/>
      <c r="C159" s="52"/>
      <c r="D159" s="32"/>
      <c r="E159" s="13"/>
      <c r="F159" s="32"/>
      <c r="G159" s="32"/>
      <c r="H159" s="53" t="str">
        <f aca="false">IF(OR($E159="",$F159=""),"",$E159*$F159)</f>
        <v/>
      </c>
      <c r="I159" s="53" t="str">
        <f aca="false">IF(OR($E159="",$F159=""),"",$E159*(1+$F159/30))</f>
        <v/>
      </c>
      <c r="J159" s="52"/>
    </row>
    <row r="160" customFormat="false" ht="15" hidden="false" customHeight="false" outlineLevel="0" collapsed="false">
      <c r="A160" s="51"/>
      <c r="B160" s="52"/>
      <c r="C160" s="52"/>
      <c r="D160" s="32"/>
      <c r="E160" s="13"/>
      <c r="F160" s="32"/>
      <c r="G160" s="32"/>
      <c r="H160" s="53" t="str">
        <f aca="false">IF(OR($E160="",$F160=""),"",$E160*$F160)</f>
        <v/>
      </c>
      <c r="I160" s="53" t="str">
        <f aca="false">IF(OR($E160="",$F160=""),"",$E160*(1+$F160/30))</f>
        <v/>
      </c>
      <c r="J160" s="52"/>
    </row>
    <row r="161" customFormat="false" ht="15" hidden="false" customHeight="false" outlineLevel="0" collapsed="false">
      <c r="A161" s="51"/>
      <c r="B161" s="52"/>
      <c r="C161" s="52"/>
      <c r="D161" s="32"/>
      <c r="E161" s="13"/>
      <c r="F161" s="32"/>
      <c r="G161" s="32"/>
      <c r="H161" s="53" t="str">
        <f aca="false">IF(OR($E161="",$F161=""),"",$E161*$F161)</f>
        <v/>
      </c>
      <c r="I161" s="53" t="str">
        <f aca="false">IF(OR($E161="",$F161=""),"",$E161*(1+$F161/30))</f>
        <v/>
      </c>
      <c r="J161" s="52"/>
    </row>
    <row r="162" customFormat="false" ht="15" hidden="false" customHeight="false" outlineLevel="0" collapsed="false">
      <c r="A162" s="51"/>
      <c r="B162" s="52"/>
      <c r="C162" s="52"/>
      <c r="D162" s="32"/>
      <c r="E162" s="13"/>
      <c r="F162" s="32"/>
      <c r="G162" s="32"/>
      <c r="H162" s="53" t="str">
        <f aca="false">IF(OR($E162="",$F162=""),"",$E162*$F162)</f>
        <v/>
      </c>
      <c r="I162" s="53" t="str">
        <f aca="false">IF(OR($E162="",$F162=""),"",$E162*(1+$F162/30))</f>
        <v/>
      </c>
      <c r="J162" s="52"/>
    </row>
    <row r="163" customFormat="false" ht="15" hidden="false" customHeight="false" outlineLevel="0" collapsed="false">
      <c r="A163" s="51"/>
      <c r="B163" s="52"/>
      <c r="C163" s="52"/>
      <c r="D163" s="32"/>
      <c r="E163" s="13"/>
      <c r="F163" s="32"/>
      <c r="G163" s="32"/>
      <c r="H163" s="53" t="str">
        <f aca="false">IF(OR($E163="",$F163=""),"",$E163*$F163)</f>
        <v/>
      </c>
      <c r="I163" s="53" t="str">
        <f aca="false">IF(OR($E163="",$F163=""),"",$E163*(1+$F163/30))</f>
        <v/>
      </c>
      <c r="J163" s="52"/>
    </row>
    <row r="164" customFormat="false" ht="15" hidden="false" customHeight="false" outlineLevel="0" collapsed="false">
      <c r="A164" s="51"/>
      <c r="B164" s="52"/>
      <c r="C164" s="52"/>
      <c r="D164" s="32"/>
      <c r="E164" s="13"/>
      <c r="F164" s="32"/>
      <c r="G164" s="32"/>
      <c r="H164" s="53" t="str">
        <f aca="false">IF(OR($E164="",$F164=""),"",$E164*$F164)</f>
        <v/>
      </c>
      <c r="I164" s="53" t="str">
        <f aca="false">IF(OR($E164="",$F164=""),"",$E164*(1+$F164/30))</f>
        <v/>
      </c>
      <c r="J164" s="52"/>
    </row>
    <row r="165" customFormat="false" ht="15" hidden="false" customHeight="false" outlineLevel="0" collapsed="false">
      <c r="A165" s="51"/>
      <c r="B165" s="52"/>
      <c r="C165" s="52"/>
      <c r="D165" s="32"/>
      <c r="E165" s="13"/>
      <c r="F165" s="32"/>
      <c r="G165" s="32"/>
      <c r="H165" s="53" t="str">
        <f aca="false">IF(OR($E165="",$F165=""),"",$E165*$F165)</f>
        <v/>
      </c>
      <c r="I165" s="53" t="str">
        <f aca="false">IF(OR($E165="",$F165=""),"",$E165*(1+$F165/30))</f>
        <v/>
      </c>
      <c r="J165" s="52"/>
    </row>
    <row r="166" customFormat="false" ht="15" hidden="false" customHeight="false" outlineLevel="0" collapsed="false">
      <c r="A166" s="51"/>
      <c r="B166" s="52"/>
      <c r="C166" s="52"/>
      <c r="D166" s="32"/>
      <c r="E166" s="13"/>
      <c r="F166" s="32"/>
      <c r="G166" s="32"/>
      <c r="H166" s="53" t="str">
        <f aca="false">IF(OR($E166="",$F166=""),"",$E166*$F166)</f>
        <v/>
      </c>
      <c r="I166" s="53" t="str">
        <f aca="false">IF(OR($E166="",$F166=""),"",$E166*(1+$F166/30))</f>
        <v/>
      </c>
      <c r="J166" s="52"/>
    </row>
    <row r="167" customFormat="false" ht="15" hidden="false" customHeight="false" outlineLevel="0" collapsed="false">
      <c r="A167" s="51"/>
      <c r="B167" s="52"/>
      <c r="C167" s="52"/>
      <c r="D167" s="32"/>
      <c r="E167" s="13"/>
      <c r="F167" s="32"/>
      <c r="G167" s="32"/>
      <c r="H167" s="53" t="str">
        <f aca="false">IF(OR($E167="",$F167=""),"",$E167*$F167)</f>
        <v/>
      </c>
      <c r="I167" s="53" t="str">
        <f aca="false">IF(OR($E167="",$F167=""),"",$E167*(1+$F167/30))</f>
        <v/>
      </c>
      <c r="J167" s="52"/>
    </row>
    <row r="168" customFormat="false" ht="15" hidden="false" customHeight="false" outlineLevel="0" collapsed="false">
      <c r="A168" s="51"/>
      <c r="B168" s="52"/>
      <c r="C168" s="52"/>
      <c r="D168" s="32"/>
      <c r="E168" s="13"/>
      <c r="F168" s="32"/>
      <c r="G168" s="32"/>
      <c r="H168" s="53" t="str">
        <f aca="false">IF(OR($E168="",$F168=""),"",$E168*$F168)</f>
        <v/>
      </c>
      <c r="I168" s="53" t="str">
        <f aca="false">IF(OR($E168="",$F168=""),"",$E168*(1+$F168/30))</f>
        <v/>
      </c>
      <c r="J168" s="52"/>
    </row>
    <row r="169" customFormat="false" ht="15" hidden="false" customHeight="false" outlineLevel="0" collapsed="false">
      <c r="A169" s="51"/>
      <c r="B169" s="52"/>
      <c r="C169" s="52"/>
      <c r="D169" s="32"/>
      <c r="E169" s="13"/>
      <c r="F169" s="32"/>
      <c r="G169" s="32"/>
      <c r="H169" s="53" t="str">
        <f aca="false">IF(OR($E169="",$F169=""),"",$E169*$F169)</f>
        <v/>
      </c>
      <c r="I169" s="53" t="str">
        <f aca="false">IF(OR($E169="",$F169=""),"",$E169*(1+$F169/30))</f>
        <v/>
      </c>
      <c r="J169" s="52"/>
    </row>
    <row r="170" customFormat="false" ht="15" hidden="false" customHeight="false" outlineLevel="0" collapsed="false">
      <c r="A170" s="51"/>
      <c r="B170" s="52"/>
      <c r="C170" s="52"/>
      <c r="D170" s="32"/>
      <c r="E170" s="13"/>
      <c r="F170" s="32"/>
      <c r="G170" s="32"/>
      <c r="H170" s="53" t="str">
        <f aca="false">IF(OR($E170="",$F170=""),"",$E170*$F170)</f>
        <v/>
      </c>
      <c r="I170" s="53" t="str">
        <f aca="false">IF(OR($E170="",$F170=""),"",$E170*(1+$F170/30))</f>
        <v/>
      </c>
      <c r="J170" s="52"/>
    </row>
    <row r="171" customFormat="false" ht="15" hidden="false" customHeight="false" outlineLevel="0" collapsed="false">
      <c r="A171" s="51"/>
      <c r="B171" s="52"/>
      <c r="C171" s="52"/>
      <c r="D171" s="32"/>
      <c r="E171" s="13"/>
      <c r="F171" s="32"/>
      <c r="G171" s="32"/>
      <c r="H171" s="53" t="str">
        <f aca="false">IF(OR($E171="",$F171=""),"",$E171*$F171)</f>
        <v/>
      </c>
      <c r="I171" s="53" t="str">
        <f aca="false">IF(OR($E171="",$F171=""),"",$E171*(1+$F171/30))</f>
        <v/>
      </c>
      <c r="J171" s="52"/>
    </row>
    <row r="172" customFormat="false" ht="15" hidden="false" customHeight="false" outlineLevel="0" collapsed="false">
      <c r="A172" s="51"/>
      <c r="B172" s="52"/>
      <c r="C172" s="52"/>
      <c r="D172" s="32"/>
      <c r="E172" s="13"/>
      <c r="F172" s="32"/>
      <c r="G172" s="32"/>
      <c r="H172" s="53" t="str">
        <f aca="false">IF(OR($E172="",$F172=""),"",$E172*$F172)</f>
        <v/>
      </c>
      <c r="I172" s="53" t="str">
        <f aca="false">IF(OR($E172="",$F172=""),"",$E172*(1+$F172/30))</f>
        <v/>
      </c>
      <c r="J172" s="52"/>
    </row>
    <row r="173" customFormat="false" ht="15" hidden="false" customHeight="false" outlineLevel="0" collapsed="false">
      <c r="A173" s="51"/>
      <c r="B173" s="52"/>
      <c r="C173" s="52"/>
      <c r="D173" s="32"/>
      <c r="E173" s="13"/>
      <c r="F173" s="32"/>
      <c r="G173" s="32"/>
      <c r="H173" s="53" t="str">
        <f aca="false">IF(OR($E173="",$F173=""),"",$E173*$F173)</f>
        <v/>
      </c>
      <c r="I173" s="53" t="str">
        <f aca="false">IF(OR($E173="",$F173=""),"",$E173*(1+$F173/30))</f>
        <v/>
      </c>
      <c r="J173" s="52"/>
    </row>
    <row r="174" customFormat="false" ht="15" hidden="false" customHeight="false" outlineLevel="0" collapsed="false">
      <c r="A174" s="51"/>
      <c r="B174" s="52"/>
      <c r="C174" s="52"/>
      <c r="D174" s="32"/>
      <c r="E174" s="13"/>
      <c r="F174" s="32"/>
      <c r="G174" s="32"/>
      <c r="H174" s="53" t="str">
        <f aca="false">IF(OR($E174="",$F174=""),"",$E174*$F174)</f>
        <v/>
      </c>
      <c r="I174" s="53" t="str">
        <f aca="false">IF(OR($E174="",$F174=""),"",$E174*(1+$F174/30))</f>
        <v/>
      </c>
      <c r="J174" s="52"/>
    </row>
    <row r="175" customFormat="false" ht="15" hidden="false" customHeight="false" outlineLevel="0" collapsed="false">
      <c r="A175" s="51"/>
      <c r="B175" s="52"/>
      <c r="C175" s="52"/>
      <c r="D175" s="32"/>
      <c r="E175" s="13"/>
      <c r="F175" s="32"/>
      <c r="G175" s="32"/>
      <c r="H175" s="53" t="str">
        <f aca="false">IF(OR($E175="",$F175=""),"",$E175*$F175)</f>
        <v/>
      </c>
      <c r="I175" s="53" t="str">
        <f aca="false">IF(OR($E175="",$F175=""),"",$E175*(1+$F175/30))</f>
        <v/>
      </c>
      <c r="J175" s="52"/>
    </row>
    <row r="176" customFormat="false" ht="15" hidden="false" customHeight="false" outlineLevel="0" collapsed="false">
      <c r="A176" s="51"/>
      <c r="B176" s="52"/>
      <c r="C176" s="52"/>
      <c r="D176" s="32"/>
      <c r="E176" s="13"/>
      <c r="F176" s="32"/>
      <c r="G176" s="32"/>
      <c r="H176" s="53" t="str">
        <f aca="false">IF(OR($E176="",$F176=""),"",$E176*$F176)</f>
        <v/>
      </c>
      <c r="I176" s="53" t="str">
        <f aca="false">IF(OR($E176="",$F176=""),"",$E176*(1+$F176/30))</f>
        <v/>
      </c>
      <c r="J176" s="52"/>
    </row>
    <row r="177" customFormat="false" ht="15" hidden="false" customHeight="false" outlineLevel="0" collapsed="false">
      <c r="A177" s="51"/>
      <c r="B177" s="52"/>
      <c r="C177" s="52"/>
      <c r="D177" s="32"/>
      <c r="E177" s="13"/>
      <c r="F177" s="32"/>
      <c r="G177" s="32"/>
      <c r="H177" s="53" t="str">
        <f aca="false">IF(OR($E177="",$F177=""),"",$E177*$F177)</f>
        <v/>
      </c>
      <c r="I177" s="53" t="str">
        <f aca="false">IF(OR($E177="",$F177=""),"",$E177*(1+$F177/30))</f>
        <v/>
      </c>
      <c r="J177" s="52"/>
    </row>
    <row r="178" customFormat="false" ht="15" hidden="false" customHeight="false" outlineLevel="0" collapsed="false">
      <c r="A178" s="51"/>
      <c r="B178" s="52"/>
      <c r="C178" s="52"/>
      <c r="D178" s="32"/>
      <c r="E178" s="13"/>
      <c r="F178" s="32"/>
      <c r="G178" s="32"/>
      <c r="H178" s="53" t="str">
        <f aca="false">IF(OR($E178="",$F178=""),"",$E178*$F178)</f>
        <v/>
      </c>
      <c r="I178" s="53" t="str">
        <f aca="false">IF(OR($E178="",$F178=""),"",$E178*(1+$F178/30))</f>
        <v/>
      </c>
      <c r="J178" s="52"/>
    </row>
    <row r="179" customFormat="false" ht="15" hidden="false" customHeight="false" outlineLevel="0" collapsed="false">
      <c r="A179" s="51"/>
      <c r="B179" s="52"/>
      <c r="C179" s="52"/>
      <c r="D179" s="32"/>
      <c r="E179" s="13"/>
      <c r="F179" s="32"/>
      <c r="G179" s="32"/>
      <c r="H179" s="53" t="str">
        <f aca="false">IF(OR($E179="",$F179=""),"",$E179*$F179)</f>
        <v/>
      </c>
      <c r="I179" s="53" t="str">
        <f aca="false">IF(OR($E179="",$F179=""),"",$E179*(1+$F179/30))</f>
        <v/>
      </c>
      <c r="J179" s="52"/>
    </row>
    <row r="180" customFormat="false" ht="15" hidden="false" customHeight="false" outlineLevel="0" collapsed="false">
      <c r="A180" s="51"/>
      <c r="B180" s="52"/>
      <c r="C180" s="52"/>
      <c r="D180" s="32"/>
      <c r="E180" s="13"/>
      <c r="F180" s="32"/>
      <c r="G180" s="32"/>
      <c r="H180" s="53" t="str">
        <f aca="false">IF(OR($E180="",$F180=""),"",$E180*$F180)</f>
        <v/>
      </c>
      <c r="I180" s="53" t="str">
        <f aca="false">IF(OR($E180="",$F180=""),"",$E180*(1+$F180/30))</f>
        <v/>
      </c>
      <c r="J180" s="52"/>
    </row>
    <row r="181" customFormat="false" ht="15" hidden="false" customHeight="false" outlineLevel="0" collapsed="false">
      <c r="A181" s="51"/>
      <c r="B181" s="52"/>
      <c r="C181" s="52"/>
      <c r="D181" s="32"/>
      <c r="E181" s="13"/>
      <c r="F181" s="32"/>
      <c r="G181" s="32"/>
      <c r="H181" s="53" t="str">
        <f aca="false">IF(OR($E181="",$F181=""),"",$E181*$F181)</f>
        <v/>
      </c>
      <c r="I181" s="53" t="str">
        <f aca="false">IF(OR($E181="",$F181=""),"",$E181*(1+$F181/30))</f>
        <v/>
      </c>
      <c r="J181" s="52"/>
    </row>
    <row r="182" customFormat="false" ht="15" hidden="false" customHeight="false" outlineLevel="0" collapsed="false">
      <c r="A182" s="51"/>
      <c r="B182" s="52"/>
      <c r="C182" s="52"/>
      <c r="D182" s="32"/>
      <c r="E182" s="13"/>
      <c r="F182" s="32"/>
      <c r="G182" s="32"/>
      <c r="H182" s="53" t="str">
        <f aca="false">IF(OR($E182="",$F182=""),"",$E182*$F182)</f>
        <v/>
      </c>
      <c r="I182" s="53" t="str">
        <f aca="false">IF(OR($E182="",$F182=""),"",$E182*(1+$F182/30))</f>
        <v/>
      </c>
      <c r="J182" s="52"/>
    </row>
    <row r="183" customFormat="false" ht="15" hidden="false" customHeight="false" outlineLevel="0" collapsed="false">
      <c r="A183" s="51"/>
      <c r="B183" s="52"/>
      <c r="C183" s="52"/>
      <c r="D183" s="32"/>
      <c r="E183" s="13"/>
      <c r="F183" s="32"/>
      <c r="G183" s="32"/>
      <c r="H183" s="53" t="str">
        <f aca="false">IF(OR($E183="",$F183=""),"",$E183*$F183)</f>
        <v/>
      </c>
      <c r="I183" s="53" t="str">
        <f aca="false">IF(OR($E183="",$F183=""),"",$E183*(1+$F183/30))</f>
        <v/>
      </c>
      <c r="J183" s="52"/>
    </row>
    <row r="184" customFormat="false" ht="15" hidden="false" customHeight="false" outlineLevel="0" collapsed="false">
      <c r="A184" s="51"/>
      <c r="B184" s="52"/>
      <c r="C184" s="52"/>
      <c r="D184" s="32"/>
      <c r="E184" s="13"/>
      <c r="F184" s="32"/>
      <c r="G184" s="32"/>
      <c r="H184" s="53" t="str">
        <f aca="false">IF(OR($E184="",$F184=""),"",$E184*$F184)</f>
        <v/>
      </c>
      <c r="I184" s="53" t="str">
        <f aca="false">IF(OR($E184="",$F184=""),"",$E184*(1+$F184/30))</f>
        <v/>
      </c>
      <c r="J184" s="52"/>
    </row>
    <row r="185" customFormat="false" ht="15" hidden="false" customHeight="false" outlineLevel="0" collapsed="false">
      <c r="A185" s="51"/>
      <c r="B185" s="52"/>
      <c r="C185" s="52"/>
      <c r="D185" s="32"/>
      <c r="E185" s="13"/>
      <c r="F185" s="32"/>
      <c r="G185" s="32"/>
      <c r="H185" s="53" t="str">
        <f aca="false">IF(OR($E185="",$F185=""),"",$E185*$F185)</f>
        <v/>
      </c>
      <c r="I185" s="53" t="str">
        <f aca="false">IF(OR($E185="",$F185=""),"",$E185*(1+$F185/30))</f>
        <v/>
      </c>
      <c r="J185" s="52"/>
    </row>
    <row r="186" customFormat="false" ht="15" hidden="false" customHeight="false" outlineLevel="0" collapsed="false">
      <c r="A186" s="51"/>
      <c r="B186" s="52"/>
      <c r="C186" s="52"/>
      <c r="D186" s="32"/>
      <c r="E186" s="13"/>
      <c r="F186" s="32"/>
      <c r="G186" s="32"/>
      <c r="H186" s="53" t="str">
        <f aca="false">IF(OR($E186="",$F186=""),"",$E186*$F186)</f>
        <v/>
      </c>
      <c r="I186" s="53" t="str">
        <f aca="false">IF(OR($E186="",$F186=""),"",$E186*(1+$F186/30))</f>
        <v/>
      </c>
      <c r="J186" s="52"/>
    </row>
    <row r="187" customFormat="false" ht="15" hidden="false" customHeight="false" outlineLevel="0" collapsed="false">
      <c r="A187" s="51"/>
      <c r="B187" s="52"/>
      <c r="C187" s="52"/>
      <c r="D187" s="32"/>
      <c r="E187" s="13"/>
      <c r="F187" s="32"/>
      <c r="G187" s="32"/>
      <c r="H187" s="53" t="str">
        <f aca="false">IF(OR($E187="",$F187=""),"",$E187*$F187)</f>
        <v/>
      </c>
      <c r="I187" s="53" t="str">
        <f aca="false">IF(OR($E187="",$F187=""),"",$E187*(1+$F187/30))</f>
        <v/>
      </c>
      <c r="J187" s="52"/>
    </row>
    <row r="188" customFormat="false" ht="15" hidden="false" customHeight="false" outlineLevel="0" collapsed="false">
      <c r="A188" s="51"/>
      <c r="B188" s="52"/>
      <c r="C188" s="52"/>
      <c r="D188" s="32"/>
      <c r="E188" s="13"/>
      <c r="F188" s="32"/>
      <c r="G188" s="32"/>
      <c r="H188" s="53" t="str">
        <f aca="false">IF(OR($E188="",$F188=""),"",$E188*$F188)</f>
        <v/>
      </c>
      <c r="I188" s="53" t="str">
        <f aca="false">IF(OR($E188="",$F188=""),"",$E188*(1+$F188/30))</f>
        <v/>
      </c>
      <c r="J188" s="52"/>
    </row>
    <row r="189" customFormat="false" ht="15" hidden="false" customHeight="false" outlineLevel="0" collapsed="false">
      <c r="A189" s="51"/>
      <c r="B189" s="52"/>
      <c r="C189" s="52"/>
      <c r="D189" s="32"/>
      <c r="E189" s="13"/>
      <c r="F189" s="32"/>
      <c r="G189" s="32"/>
      <c r="H189" s="53" t="str">
        <f aca="false">IF(OR($E189="",$F189=""),"",$E189*$F189)</f>
        <v/>
      </c>
      <c r="I189" s="53" t="str">
        <f aca="false">IF(OR($E189="",$F189=""),"",$E189*(1+$F189/30))</f>
        <v/>
      </c>
      <c r="J189" s="52"/>
    </row>
    <row r="190" customFormat="false" ht="15" hidden="false" customHeight="false" outlineLevel="0" collapsed="false">
      <c r="A190" s="51"/>
      <c r="B190" s="52"/>
      <c r="C190" s="52"/>
      <c r="D190" s="32"/>
      <c r="E190" s="13"/>
      <c r="F190" s="32"/>
      <c r="G190" s="32"/>
      <c r="H190" s="53" t="str">
        <f aca="false">IF(OR($E190="",$F190=""),"",$E190*$F190)</f>
        <v/>
      </c>
      <c r="I190" s="53" t="str">
        <f aca="false">IF(OR($E190="",$F190=""),"",$E190*(1+$F190/30))</f>
        <v/>
      </c>
      <c r="J190" s="52"/>
    </row>
    <row r="191" customFormat="false" ht="15" hidden="false" customHeight="false" outlineLevel="0" collapsed="false">
      <c r="A191" s="51"/>
      <c r="B191" s="52"/>
      <c r="C191" s="52"/>
      <c r="D191" s="32"/>
      <c r="E191" s="13"/>
      <c r="F191" s="32"/>
      <c r="G191" s="32"/>
      <c r="H191" s="53" t="str">
        <f aca="false">IF(OR($E191="",$F191=""),"",$E191*$F191)</f>
        <v/>
      </c>
      <c r="I191" s="53" t="str">
        <f aca="false">IF(OR($E191="",$F191=""),"",$E191*(1+$F191/30))</f>
        <v/>
      </c>
      <c r="J191" s="52"/>
    </row>
    <row r="192" customFormat="false" ht="15" hidden="false" customHeight="false" outlineLevel="0" collapsed="false">
      <c r="A192" s="51"/>
      <c r="B192" s="52"/>
      <c r="C192" s="52"/>
      <c r="D192" s="32"/>
      <c r="E192" s="13"/>
      <c r="F192" s="32"/>
      <c r="G192" s="32"/>
      <c r="H192" s="53" t="str">
        <f aca="false">IF(OR($E192="",$F192=""),"",$E192*$F192)</f>
        <v/>
      </c>
      <c r="I192" s="53" t="str">
        <f aca="false">IF(OR($E192="",$F192=""),"",$E192*(1+$F192/30))</f>
        <v/>
      </c>
      <c r="J192" s="52"/>
    </row>
    <row r="193" customFormat="false" ht="15" hidden="false" customHeight="false" outlineLevel="0" collapsed="false">
      <c r="A193" s="51"/>
      <c r="B193" s="52"/>
      <c r="C193" s="52"/>
      <c r="D193" s="32"/>
      <c r="E193" s="13"/>
      <c r="F193" s="32"/>
      <c r="G193" s="32"/>
      <c r="H193" s="53" t="str">
        <f aca="false">IF(OR($E193="",$F193=""),"",$E193*$F193)</f>
        <v/>
      </c>
      <c r="I193" s="53" t="str">
        <f aca="false">IF(OR($E193="",$F193=""),"",$E193*(1+$F193/30))</f>
        <v/>
      </c>
      <c r="J193" s="52"/>
    </row>
    <row r="194" customFormat="false" ht="15" hidden="false" customHeight="false" outlineLevel="0" collapsed="false">
      <c r="A194" s="51"/>
      <c r="B194" s="52"/>
      <c r="C194" s="52"/>
      <c r="D194" s="32"/>
      <c r="E194" s="13"/>
      <c r="F194" s="32"/>
      <c r="G194" s="32"/>
      <c r="H194" s="53" t="str">
        <f aca="false">IF(OR($E194="",$F194=""),"",$E194*$F194)</f>
        <v/>
      </c>
      <c r="I194" s="53" t="str">
        <f aca="false">IF(OR($E194="",$F194=""),"",$E194*(1+$F194/30))</f>
        <v/>
      </c>
      <c r="J194" s="52"/>
    </row>
    <row r="195" customFormat="false" ht="15" hidden="false" customHeight="false" outlineLevel="0" collapsed="false">
      <c r="A195" s="51"/>
      <c r="B195" s="52"/>
      <c r="C195" s="52"/>
      <c r="D195" s="32"/>
      <c r="E195" s="13"/>
      <c r="F195" s="32"/>
      <c r="G195" s="32"/>
      <c r="H195" s="53" t="str">
        <f aca="false">IF(OR($E195="",$F195=""),"",$E195*$F195)</f>
        <v/>
      </c>
      <c r="I195" s="53" t="str">
        <f aca="false">IF(OR($E195="",$F195=""),"",$E195*(1+$F195/30))</f>
        <v/>
      </c>
      <c r="J195" s="52"/>
    </row>
    <row r="196" customFormat="false" ht="15" hidden="false" customHeight="false" outlineLevel="0" collapsed="false">
      <c r="A196" s="51"/>
      <c r="B196" s="52"/>
      <c r="C196" s="52"/>
      <c r="D196" s="32"/>
      <c r="E196" s="13"/>
      <c r="F196" s="32"/>
      <c r="G196" s="32"/>
      <c r="H196" s="53" t="str">
        <f aca="false">IF(OR($E196="",$F196=""),"",$E196*$F196)</f>
        <v/>
      </c>
      <c r="I196" s="53" t="str">
        <f aca="false">IF(OR($E196="",$F196=""),"",$E196*(1+$F196/30))</f>
        <v/>
      </c>
      <c r="J196" s="52"/>
    </row>
    <row r="197" customFormat="false" ht="15" hidden="false" customHeight="false" outlineLevel="0" collapsed="false">
      <c r="A197" s="51"/>
      <c r="B197" s="52"/>
      <c r="C197" s="52"/>
      <c r="D197" s="32"/>
      <c r="E197" s="13"/>
      <c r="F197" s="32"/>
      <c r="G197" s="32"/>
      <c r="H197" s="53" t="str">
        <f aca="false">IF(OR($E197="",$F197=""),"",$E197*$F197)</f>
        <v/>
      </c>
      <c r="I197" s="53" t="str">
        <f aca="false">IF(OR($E197="",$F197=""),"",$E197*(1+$F197/30))</f>
        <v/>
      </c>
      <c r="J197" s="52"/>
    </row>
    <row r="198" customFormat="false" ht="15" hidden="false" customHeight="false" outlineLevel="0" collapsed="false">
      <c r="A198" s="51"/>
      <c r="B198" s="52"/>
      <c r="C198" s="52"/>
      <c r="D198" s="32"/>
      <c r="E198" s="13"/>
      <c r="F198" s="32"/>
      <c r="G198" s="32"/>
      <c r="H198" s="53" t="str">
        <f aca="false">IF(OR($E198="",$F198=""),"",$E198*$F198)</f>
        <v/>
      </c>
      <c r="I198" s="53" t="str">
        <f aca="false">IF(OR($E198="",$F198=""),"",$E198*(1+$F198/30))</f>
        <v/>
      </c>
      <c r="J198" s="52"/>
    </row>
    <row r="199" customFormat="false" ht="15" hidden="false" customHeight="false" outlineLevel="0" collapsed="false">
      <c r="A199" s="51"/>
      <c r="B199" s="52"/>
      <c r="C199" s="52"/>
      <c r="D199" s="32"/>
      <c r="E199" s="13"/>
      <c r="F199" s="32"/>
      <c r="G199" s="32"/>
      <c r="H199" s="53" t="str">
        <f aca="false">IF(OR($E199="",$F199=""),"",$E199*$F199)</f>
        <v/>
      </c>
      <c r="I199" s="53" t="str">
        <f aca="false">IF(OR($E199="",$F199=""),"",$E199*(1+$F199/30))</f>
        <v/>
      </c>
      <c r="J199" s="52"/>
    </row>
    <row r="200" customFormat="false" ht="15" hidden="false" customHeight="false" outlineLevel="0" collapsed="false">
      <c r="A200" s="51"/>
      <c r="B200" s="52"/>
      <c r="C200" s="52"/>
      <c r="D200" s="32"/>
      <c r="E200" s="13"/>
      <c r="F200" s="32"/>
      <c r="G200" s="32"/>
      <c r="H200" s="53" t="str">
        <f aca="false">IF(OR($E200="",$F200=""),"",$E200*$F200)</f>
        <v/>
      </c>
      <c r="I200" s="53" t="str">
        <f aca="false">IF(OR($E200="",$F200=""),"",$E200*(1+$F200/30))</f>
        <v/>
      </c>
      <c r="J200" s="52"/>
    </row>
    <row r="201" customFormat="false" ht="15" hidden="false" customHeight="false" outlineLevel="0" collapsed="false">
      <c r="A201" s="51"/>
      <c r="B201" s="52"/>
      <c r="C201" s="52"/>
      <c r="D201" s="32"/>
      <c r="E201" s="13"/>
      <c r="F201" s="32"/>
      <c r="G201" s="32"/>
      <c r="H201" s="53" t="str">
        <f aca="false">IF(OR($E201="",$F201=""),"",$E201*$F201)</f>
        <v/>
      </c>
      <c r="I201" s="53" t="str">
        <f aca="false">IF(OR($E201="",$F201=""),"",$E201*(1+$F201/30))</f>
        <v/>
      </c>
      <c r="J201" s="52"/>
    </row>
    <row r="202" customFormat="false" ht="15" hidden="false" customHeight="false" outlineLevel="0" collapsed="false">
      <c r="A202" s="51"/>
      <c r="B202" s="52"/>
      <c r="C202" s="52"/>
      <c r="D202" s="32"/>
      <c r="E202" s="13"/>
      <c r="F202" s="32"/>
      <c r="G202" s="32"/>
      <c r="H202" s="53" t="str">
        <f aca="false">IF(OR($E202="",$F202=""),"",$E202*$F202)</f>
        <v/>
      </c>
      <c r="I202" s="53" t="str">
        <f aca="false">IF(OR($E202="",$F202=""),"",$E202*(1+$F202/30))</f>
        <v/>
      </c>
      <c r="J202" s="52"/>
    </row>
    <row r="203" customFormat="false" ht="15" hidden="false" customHeight="false" outlineLevel="0" collapsed="false">
      <c r="A203" s="51"/>
      <c r="B203" s="52"/>
      <c r="C203" s="52"/>
      <c r="D203" s="32"/>
      <c r="E203" s="13"/>
      <c r="F203" s="32"/>
      <c r="G203" s="32"/>
      <c r="H203" s="53" t="str">
        <f aca="false">IF(OR($E203="",$F203=""),"",$E203*$F203)</f>
        <v/>
      </c>
      <c r="I203" s="53" t="str">
        <f aca="false">IF(OR($E203="",$F203=""),"",$E203*(1+$F203/30))</f>
        <v/>
      </c>
      <c r="J203" s="52"/>
    </row>
    <row r="204" customFormat="false" ht="15" hidden="false" customHeight="false" outlineLevel="0" collapsed="false">
      <c r="A204" s="51"/>
      <c r="B204" s="52"/>
      <c r="C204" s="52"/>
      <c r="D204" s="32"/>
      <c r="E204" s="13"/>
      <c r="F204" s="32"/>
      <c r="G204" s="32"/>
      <c r="H204" s="53" t="str">
        <f aca="false">IF(OR($E204="",$F204=""),"",$E204*$F204)</f>
        <v/>
      </c>
      <c r="I204" s="53" t="str">
        <f aca="false">IF(OR($E204="",$F204=""),"",$E204*(1+$F204/30))</f>
        <v/>
      </c>
      <c r="J204" s="52"/>
    </row>
    <row r="205" customFormat="false" ht="15" hidden="false" customHeight="false" outlineLevel="0" collapsed="false">
      <c r="A205" s="51"/>
      <c r="B205" s="52"/>
      <c r="C205" s="52"/>
      <c r="D205" s="32"/>
      <c r="E205" s="13"/>
      <c r="F205" s="32"/>
      <c r="G205" s="32"/>
      <c r="H205" s="53" t="str">
        <f aca="false">IF(OR($E205="",$F205=""),"",$E205*$F205)</f>
        <v/>
      </c>
      <c r="I205" s="53" t="str">
        <f aca="false">IF(OR($E205="",$F205=""),"",$E205*(1+$F205/30))</f>
        <v/>
      </c>
      <c r="J205" s="52"/>
    </row>
    <row r="206" customFormat="false" ht="15" hidden="false" customHeight="false" outlineLevel="0" collapsed="false">
      <c r="A206" s="51"/>
      <c r="B206" s="52"/>
      <c r="C206" s="52"/>
      <c r="D206" s="32"/>
      <c r="E206" s="13"/>
      <c r="F206" s="32"/>
      <c r="G206" s="32"/>
      <c r="H206" s="53" t="str">
        <f aca="false">IF(OR($E206="",$F206=""),"",$E206*$F206)</f>
        <v/>
      </c>
      <c r="I206" s="53" t="str">
        <f aca="false">IF(OR($E206="",$F206=""),"",$E206*(1+$F206/30))</f>
        <v/>
      </c>
      <c r="J206" s="52"/>
    </row>
    <row r="207" customFormat="false" ht="15" hidden="false" customHeight="false" outlineLevel="0" collapsed="false">
      <c r="A207" s="51"/>
      <c r="B207" s="52"/>
      <c r="C207" s="52"/>
      <c r="D207" s="32"/>
      <c r="E207" s="13"/>
      <c r="F207" s="32"/>
      <c r="G207" s="32"/>
      <c r="H207" s="53" t="str">
        <f aca="false">IF(OR($E207="",$F207=""),"",$E207*$F207)</f>
        <v/>
      </c>
      <c r="I207" s="53" t="str">
        <f aca="false">IF(OR($E207="",$F207=""),"",$E207*(1+$F207/30))</f>
        <v/>
      </c>
      <c r="J207" s="52"/>
    </row>
    <row r="208" customFormat="false" ht="15" hidden="false" customHeight="false" outlineLevel="0" collapsed="false">
      <c r="A208" s="51"/>
      <c r="B208" s="52"/>
      <c r="C208" s="52"/>
      <c r="D208" s="32"/>
      <c r="E208" s="13"/>
      <c r="F208" s="32"/>
      <c r="G208" s="32"/>
      <c r="H208" s="53" t="str">
        <f aca="false">IF(OR($E208="",$F208=""),"",$E208*$F208)</f>
        <v/>
      </c>
      <c r="I208" s="53" t="str">
        <f aca="false">IF(OR($E208="",$F208=""),"",$E208*(1+$F208/30))</f>
        <v/>
      </c>
      <c r="J208" s="52"/>
    </row>
    <row r="209" customFormat="false" ht="15" hidden="false" customHeight="false" outlineLevel="0" collapsed="false">
      <c r="A209" s="51"/>
      <c r="B209" s="52"/>
      <c r="C209" s="52"/>
      <c r="D209" s="32"/>
      <c r="E209" s="13"/>
      <c r="F209" s="32"/>
      <c r="G209" s="32"/>
      <c r="H209" s="53" t="str">
        <f aca="false">IF(OR($E209="",$F209=""),"",$E209*$F209)</f>
        <v/>
      </c>
      <c r="I209" s="53" t="str">
        <f aca="false">IF(OR($E209="",$F209=""),"",$E209*(1+$F209/30))</f>
        <v/>
      </c>
      <c r="J209" s="52"/>
    </row>
    <row r="210" customFormat="false" ht="15" hidden="false" customHeight="false" outlineLevel="0" collapsed="false">
      <c r="A210" s="51"/>
      <c r="B210" s="52"/>
      <c r="C210" s="52"/>
      <c r="D210" s="32"/>
      <c r="E210" s="13"/>
      <c r="F210" s="32"/>
      <c r="G210" s="32"/>
      <c r="H210" s="53" t="str">
        <f aca="false">IF(OR($E210="",$F210=""),"",$E210*$F210)</f>
        <v/>
      </c>
      <c r="I210" s="53" t="str">
        <f aca="false">IF(OR($E210="",$F210=""),"",$E210*(1+$F210/30))</f>
        <v/>
      </c>
      <c r="J210" s="52"/>
    </row>
    <row r="211" customFormat="false" ht="15" hidden="false" customHeight="false" outlineLevel="0" collapsed="false">
      <c r="A211" s="51"/>
      <c r="B211" s="52"/>
      <c r="C211" s="52"/>
      <c r="D211" s="32"/>
      <c r="E211" s="13"/>
      <c r="F211" s="32"/>
      <c r="G211" s="32"/>
      <c r="H211" s="53" t="str">
        <f aca="false">IF(OR($E211="",$F211=""),"",$E211*$F211)</f>
        <v/>
      </c>
      <c r="I211" s="53" t="str">
        <f aca="false">IF(OR($E211="",$F211=""),"",$E211*(1+$F211/30))</f>
        <v/>
      </c>
      <c r="J211" s="52"/>
    </row>
    <row r="212" customFormat="false" ht="15" hidden="false" customHeight="false" outlineLevel="0" collapsed="false">
      <c r="A212" s="51"/>
      <c r="B212" s="52"/>
      <c r="C212" s="52"/>
      <c r="D212" s="32"/>
      <c r="E212" s="13"/>
      <c r="F212" s="32"/>
      <c r="G212" s="32"/>
      <c r="H212" s="53" t="str">
        <f aca="false">IF(OR($E212="",$F212=""),"",$E212*$F212)</f>
        <v/>
      </c>
      <c r="I212" s="53" t="str">
        <f aca="false">IF(OR($E212="",$F212=""),"",$E212*(1+$F212/30))</f>
        <v/>
      </c>
      <c r="J212" s="52"/>
    </row>
    <row r="213" customFormat="false" ht="15" hidden="false" customHeight="false" outlineLevel="0" collapsed="false">
      <c r="A213" s="51"/>
      <c r="B213" s="52"/>
      <c r="C213" s="52"/>
      <c r="D213" s="32"/>
      <c r="E213" s="13"/>
      <c r="F213" s="32"/>
      <c r="G213" s="32"/>
      <c r="H213" s="53" t="str">
        <f aca="false">IF(OR($E213="",$F213=""),"",$E213*$F213)</f>
        <v/>
      </c>
      <c r="I213" s="53" t="str">
        <f aca="false">IF(OR($E213="",$F213=""),"",$E213*(1+$F213/30))</f>
        <v/>
      </c>
      <c r="J213" s="52"/>
    </row>
    <row r="214" customFormat="false" ht="15" hidden="false" customHeight="false" outlineLevel="0" collapsed="false">
      <c r="A214" s="51"/>
      <c r="B214" s="52"/>
      <c r="C214" s="52"/>
      <c r="D214" s="32"/>
      <c r="E214" s="13"/>
      <c r="F214" s="32"/>
      <c r="G214" s="32"/>
      <c r="H214" s="53" t="str">
        <f aca="false">IF(OR($E214="",$F214=""),"",$E214*$F214)</f>
        <v/>
      </c>
      <c r="I214" s="53" t="str">
        <f aca="false">IF(OR($E214="",$F214=""),"",$E214*(1+$F214/30))</f>
        <v/>
      </c>
      <c r="J214" s="52"/>
    </row>
    <row r="215" customFormat="false" ht="15" hidden="false" customHeight="false" outlineLevel="0" collapsed="false">
      <c r="A215" s="51"/>
      <c r="B215" s="52"/>
      <c r="C215" s="52"/>
      <c r="D215" s="32"/>
      <c r="E215" s="13"/>
      <c r="F215" s="32"/>
      <c r="G215" s="32"/>
      <c r="H215" s="53" t="str">
        <f aca="false">IF(OR($E215="",$F215=""),"",$E215*$F215)</f>
        <v/>
      </c>
      <c r="I215" s="53" t="str">
        <f aca="false">IF(OR($E215="",$F215=""),"",$E215*(1+$F215/30))</f>
        <v/>
      </c>
      <c r="J215" s="52"/>
    </row>
    <row r="216" customFormat="false" ht="15" hidden="false" customHeight="false" outlineLevel="0" collapsed="false">
      <c r="A216" s="51"/>
      <c r="B216" s="52"/>
      <c r="C216" s="52"/>
      <c r="D216" s="32"/>
      <c r="E216" s="13"/>
      <c r="F216" s="32"/>
      <c r="G216" s="32"/>
      <c r="H216" s="53" t="str">
        <f aca="false">IF(OR($E216="",$F216=""),"",$E216*$F216)</f>
        <v/>
      </c>
      <c r="I216" s="53" t="str">
        <f aca="false">IF(OR($E216="",$F216=""),"",$E216*(1+$F216/30))</f>
        <v/>
      </c>
      <c r="J216" s="52"/>
    </row>
    <row r="217" customFormat="false" ht="15" hidden="false" customHeight="false" outlineLevel="0" collapsed="false">
      <c r="A217" s="51"/>
      <c r="B217" s="52"/>
      <c r="C217" s="52"/>
      <c r="D217" s="32"/>
      <c r="E217" s="13"/>
      <c r="F217" s="32"/>
      <c r="G217" s="32"/>
      <c r="H217" s="53" t="str">
        <f aca="false">IF(OR($E217="",$F217=""),"",$E217*$F217)</f>
        <v/>
      </c>
      <c r="I217" s="53" t="str">
        <f aca="false">IF(OR($E217="",$F217=""),"",$E217*(1+$F217/30))</f>
        <v/>
      </c>
      <c r="J217" s="52"/>
    </row>
    <row r="218" customFormat="false" ht="15" hidden="false" customHeight="false" outlineLevel="0" collapsed="false">
      <c r="A218" s="51"/>
      <c r="B218" s="52"/>
      <c r="C218" s="52"/>
      <c r="D218" s="32"/>
      <c r="E218" s="13"/>
      <c r="F218" s="32"/>
      <c r="G218" s="32"/>
      <c r="H218" s="53" t="str">
        <f aca="false">IF(OR($E218="",$F218=""),"",$E218*$F218)</f>
        <v/>
      </c>
      <c r="I218" s="53" t="str">
        <f aca="false">IF(OR($E218="",$F218=""),"",$E218*(1+$F218/30))</f>
        <v/>
      </c>
      <c r="J218" s="52"/>
    </row>
    <row r="219" customFormat="false" ht="15" hidden="false" customHeight="false" outlineLevel="0" collapsed="false">
      <c r="A219" s="51"/>
      <c r="B219" s="52"/>
      <c r="C219" s="52"/>
      <c r="D219" s="32"/>
      <c r="E219" s="13"/>
      <c r="F219" s="32"/>
      <c r="G219" s="32"/>
      <c r="H219" s="53" t="str">
        <f aca="false">IF(OR($E219="",$F219=""),"",$E219*$F219)</f>
        <v/>
      </c>
      <c r="I219" s="53" t="str">
        <f aca="false">IF(OR($E219="",$F219=""),"",$E219*(1+$F219/30))</f>
        <v/>
      </c>
      <c r="J219" s="52"/>
    </row>
    <row r="220" customFormat="false" ht="15" hidden="false" customHeight="false" outlineLevel="0" collapsed="false">
      <c r="A220" s="51"/>
      <c r="B220" s="52"/>
      <c r="C220" s="52"/>
      <c r="D220" s="32"/>
      <c r="E220" s="13"/>
      <c r="F220" s="32"/>
      <c r="G220" s="32"/>
      <c r="H220" s="53" t="str">
        <f aca="false">IF(OR($E220="",$F220=""),"",$E220*$F220)</f>
        <v/>
      </c>
      <c r="I220" s="53" t="str">
        <f aca="false">IF(OR($E220="",$F220=""),"",$E220*(1+$F220/30))</f>
        <v/>
      </c>
      <c r="J220" s="52"/>
    </row>
    <row r="221" customFormat="false" ht="15" hidden="false" customHeight="false" outlineLevel="0" collapsed="false">
      <c r="A221" s="51"/>
      <c r="B221" s="52"/>
      <c r="C221" s="52"/>
      <c r="D221" s="32"/>
      <c r="E221" s="13"/>
      <c r="F221" s="32"/>
      <c r="G221" s="32"/>
      <c r="H221" s="53" t="str">
        <f aca="false">IF(OR($E221="",$F221=""),"",$E221*$F221)</f>
        <v/>
      </c>
      <c r="I221" s="53" t="str">
        <f aca="false">IF(OR($E221="",$F221=""),"",$E221*(1+$F221/30))</f>
        <v/>
      </c>
      <c r="J221" s="52"/>
    </row>
    <row r="222" customFormat="false" ht="15" hidden="false" customHeight="false" outlineLevel="0" collapsed="false">
      <c r="A222" s="51"/>
      <c r="B222" s="52"/>
      <c r="C222" s="52"/>
      <c r="D222" s="32"/>
      <c r="E222" s="13"/>
      <c r="F222" s="32"/>
      <c r="G222" s="32"/>
      <c r="H222" s="53" t="str">
        <f aca="false">IF(OR($E222="",$F222=""),"",$E222*$F222)</f>
        <v/>
      </c>
      <c r="I222" s="53" t="str">
        <f aca="false">IF(OR($E222="",$F222=""),"",$E222*(1+$F222/30))</f>
        <v/>
      </c>
      <c r="J222" s="52"/>
    </row>
    <row r="223" customFormat="false" ht="15" hidden="false" customHeight="false" outlineLevel="0" collapsed="false">
      <c r="A223" s="51"/>
      <c r="B223" s="52"/>
      <c r="C223" s="52"/>
      <c r="D223" s="32"/>
      <c r="E223" s="13"/>
      <c r="F223" s="32"/>
      <c r="G223" s="32"/>
      <c r="H223" s="53" t="str">
        <f aca="false">IF(OR($E223="",$F223=""),"",$E223*$F223)</f>
        <v/>
      </c>
      <c r="I223" s="53" t="str">
        <f aca="false">IF(OR($E223="",$F223=""),"",$E223*(1+$F223/30))</f>
        <v/>
      </c>
      <c r="J223" s="52"/>
    </row>
    <row r="224" customFormat="false" ht="15" hidden="false" customHeight="false" outlineLevel="0" collapsed="false">
      <c r="A224" s="51"/>
      <c r="B224" s="52"/>
      <c r="C224" s="52"/>
      <c r="D224" s="32"/>
      <c r="E224" s="13"/>
      <c r="F224" s="32"/>
      <c r="G224" s="32"/>
      <c r="H224" s="53" t="str">
        <f aca="false">IF(OR($E224="",$F224=""),"",$E224*$F224)</f>
        <v/>
      </c>
      <c r="I224" s="53" t="str">
        <f aca="false">IF(OR($E224="",$F224=""),"",$E224*(1+$F224/30))</f>
        <v/>
      </c>
      <c r="J224" s="52"/>
    </row>
    <row r="225" customFormat="false" ht="15" hidden="false" customHeight="false" outlineLevel="0" collapsed="false">
      <c r="A225" s="51"/>
      <c r="B225" s="52"/>
      <c r="C225" s="52"/>
      <c r="D225" s="32"/>
      <c r="E225" s="13"/>
      <c r="F225" s="32"/>
      <c r="G225" s="32"/>
      <c r="H225" s="53" t="str">
        <f aca="false">IF(OR($E225="",$F225=""),"",$E225*$F225)</f>
        <v/>
      </c>
      <c r="I225" s="53" t="str">
        <f aca="false">IF(OR($E225="",$F225=""),"",$E225*(1+$F225/30))</f>
        <v/>
      </c>
      <c r="J225" s="52"/>
    </row>
    <row r="226" customFormat="false" ht="15" hidden="false" customHeight="false" outlineLevel="0" collapsed="false">
      <c r="A226" s="51"/>
      <c r="B226" s="52"/>
      <c r="C226" s="52"/>
      <c r="D226" s="32"/>
      <c r="E226" s="13"/>
      <c r="F226" s="32"/>
      <c r="G226" s="32"/>
      <c r="H226" s="53" t="str">
        <f aca="false">IF(OR($E226="",$F226=""),"",$E226*$F226)</f>
        <v/>
      </c>
      <c r="I226" s="53" t="str">
        <f aca="false">IF(OR($E226="",$F226=""),"",$E226*(1+$F226/30))</f>
        <v/>
      </c>
      <c r="J226" s="52"/>
    </row>
    <row r="227" customFormat="false" ht="15" hidden="false" customHeight="false" outlineLevel="0" collapsed="false">
      <c r="A227" s="51"/>
      <c r="B227" s="52"/>
      <c r="C227" s="52"/>
      <c r="D227" s="32"/>
      <c r="E227" s="13"/>
      <c r="F227" s="32"/>
      <c r="G227" s="32"/>
      <c r="H227" s="53" t="str">
        <f aca="false">IF(OR($E227="",$F227=""),"",$E227*$F227)</f>
        <v/>
      </c>
      <c r="I227" s="53" t="str">
        <f aca="false">IF(OR($E227="",$F227=""),"",$E227*(1+$F227/30))</f>
        <v/>
      </c>
      <c r="J227" s="52"/>
    </row>
    <row r="228" customFormat="false" ht="15" hidden="false" customHeight="false" outlineLevel="0" collapsed="false">
      <c r="A228" s="51"/>
      <c r="B228" s="52"/>
      <c r="C228" s="52"/>
      <c r="D228" s="32"/>
      <c r="E228" s="13"/>
      <c r="F228" s="32"/>
      <c r="G228" s="32"/>
      <c r="H228" s="53" t="str">
        <f aca="false">IF(OR($E228="",$F228=""),"",$E228*$F228)</f>
        <v/>
      </c>
      <c r="I228" s="53" t="str">
        <f aca="false">IF(OR($E228="",$F228=""),"",$E228*(1+$F228/30))</f>
        <v/>
      </c>
      <c r="J228" s="52"/>
    </row>
    <row r="229" customFormat="false" ht="15" hidden="false" customHeight="false" outlineLevel="0" collapsed="false">
      <c r="A229" s="51"/>
      <c r="B229" s="52"/>
      <c r="C229" s="52"/>
      <c r="D229" s="32"/>
      <c r="E229" s="13"/>
      <c r="F229" s="32"/>
      <c r="G229" s="32"/>
      <c r="H229" s="53" t="str">
        <f aca="false">IF(OR($E229="",$F229=""),"",$E229*$F229)</f>
        <v/>
      </c>
      <c r="I229" s="53" t="str">
        <f aca="false">IF(OR($E229="",$F229=""),"",$E229*(1+$F229/30))</f>
        <v/>
      </c>
      <c r="J229" s="52"/>
    </row>
    <row r="230" customFormat="false" ht="15" hidden="false" customHeight="false" outlineLevel="0" collapsed="false">
      <c r="A230" s="51"/>
      <c r="B230" s="52"/>
      <c r="C230" s="52"/>
      <c r="D230" s="32"/>
      <c r="E230" s="13"/>
      <c r="F230" s="32"/>
      <c r="G230" s="32"/>
      <c r="H230" s="53" t="str">
        <f aca="false">IF(OR($E230="",$F230=""),"",$E230*$F230)</f>
        <v/>
      </c>
      <c r="I230" s="53" t="str">
        <f aca="false">IF(OR($E230="",$F230=""),"",$E230*(1+$F230/30))</f>
        <v/>
      </c>
      <c r="J230" s="52"/>
    </row>
    <row r="231" customFormat="false" ht="15" hidden="false" customHeight="false" outlineLevel="0" collapsed="false">
      <c r="A231" s="51"/>
      <c r="B231" s="52"/>
      <c r="C231" s="52"/>
      <c r="D231" s="32"/>
      <c r="E231" s="13"/>
      <c r="F231" s="32"/>
      <c r="G231" s="32"/>
      <c r="H231" s="53" t="str">
        <f aca="false">IF(OR($E231="",$F231=""),"",$E231*$F231)</f>
        <v/>
      </c>
      <c r="I231" s="53" t="str">
        <f aca="false">IF(OR($E231="",$F231=""),"",$E231*(1+$F231/30))</f>
        <v/>
      </c>
      <c r="J231" s="52"/>
    </row>
    <row r="232" customFormat="false" ht="15" hidden="false" customHeight="false" outlineLevel="0" collapsed="false">
      <c r="A232" s="51"/>
      <c r="B232" s="52"/>
      <c r="C232" s="52"/>
      <c r="D232" s="32"/>
      <c r="E232" s="13"/>
      <c r="F232" s="32"/>
      <c r="G232" s="32"/>
      <c r="H232" s="53" t="str">
        <f aca="false">IF(OR($E232="",$F232=""),"",$E232*$F232)</f>
        <v/>
      </c>
      <c r="I232" s="53" t="str">
        <f aca="false">IF(OR($E232="",$F232=""),"",$E232*(1+$F232/30))</f>
        <v/>
      </c>
      <c r="J232" s="52"/>
    </row>
    <row r="233" customFormat="false" ht="15" hidden="false" customHeight="false" outlineLevel="0" collapsed="false">
      <c r="A233" s="51"/>
      <c r="B233" s="52"/>
      <c r="C233" s="52"/>
      <c r="D233" s="32"/>
      <c r="E233" s="13"/>
      <c r="F233" s="32"/>
      <c r="G233" s="32"/>
      <c r="H233" s="53" t="str">
        <f aca="false">IF(OR($E233="",$F233=""),"",$E233*$F233)</f>
        <v/>
      </c>
      <c r="I233" s="53" t="str">
        <f aca="false">IF(OR($E233="",$F233=""),"",$E233*(1+$F233/30))</f>
        <v/>
      </c>
      <c r="J233" s="52"/>
    </row>
    <row r="234" customFormat="false" ht="15" hidden="false" customHeight="false" outlineLevel="0" collapsed="false">
      <c r="A234" s="51"/>
      <c r="B234" s="52"/>
      <c r="C234" s="52"/>
      <c r="D234" s="32"/>
      <c r="E234" s="13"/>
      <c r="F234" s="32"/>
      <c r="G234" s="32"/>
      <c r="H234" s="53" t="str">
        <f aca="false">IF(OR($E234="",$F234=""),"",$E234*$F234)</f>
        <v/>
      </c>
      <c r="I234" s="53" t="str">
        <f aca="false">IF(OR($E234="",$F234=""),"",$E234*(1+$F234/30))</f>
        <v/>
      </c>
      <c r="J234" s="52"/>
    </row>
    <row r="235" customFormat="false" ht="15" hidden="false" customHeight="false" outlineLevel="0" collapsed="false">
      <c r="A235" s="51"/>
      <c r="B235" s="52"/>
      <c r="C235" s="52"/>
      <c r="D235" s="32"/>
      <c r="E235" s="13"/>
      <c r="F235" s="32"/>
      <c r="G235" s="32"/>
      <c r="H235" s="53" t="str">
        <f aca="false">IF(OR($E235="",$F235=""),"",$E235*$F235)</f>
        <v/>
      </c>
      <c r="I235" s="53" t="str">
        <f aca="false">IF(OR($E235="",$F235=""),"",$E235*(1+$F235/30))</f>
        <v/>
      </c>
      <c r="J235" s="52"/>
    </row>
    <row r="236" customFormat="false" ht="15" hidden="false" customHeight="false" outlineLevel="0" collapsed="false">
      <c r="A236" s="51"/>
      <c r="B236" s="52"/>
      <c r="C236" s="52"/>
      <c r="D236" s="32"/>
      <c r="E236" s="13"/>
      <c r="F236" s="32"/>
      <c r="G236" s="32"/>
      <c r="H236" s="53" t="str">
        <f aca="false">IF(OR($E236="",$F236=""),"",$E236*$F236)</f>
        <v/>
      </c>
      <c r="I236" s="53" t="str">
        <f aca="false">IF(OR($E236="",$F236=""),"",$E236*(1+$F236/30))</f>
        <v/>
      </c>
      <c r="J236" s="52"/>
    </row>
    <row r="237" customFormat="false" ht="15" hidden="false" customHeight="false" outlineLevel="0" collapsed="false">
      <c r="A237" s="51"/>
      <c r="B237" s="52"/>
      <c r="C237" s="52"/>
      <c r="D237" s="32"/>
      <c r="E237" s="13"/>
      <c r="F237" s="32"/>
      <c r="G237" s="32"/>
      <c r="H237" s="53" t="str">
        <f aca="false">IF(OR($E237="",$F237=""),"",$E237*$F237)</f>
        <v/>
      </c>
      <c r="I237" s="53" t="str">
        <f aca="false">IF(OR($E237="",$F237=""),"",$E237*(1+$F237/30))</f>
        <v/>
      </c>
      <c r="J237" s="52"/>
    </row>
    <row r="238" customFormat="false" ht="15" hidden="false" customHeight="false" outlineLevel="0" collapsed="false">
      <c r="A238" s="51"/>
      <c r="B238" s="52"/>
      <c r="C238" s="52"/>
      <c r="D238" s="32"/>
      <c r="E238" s="13"/>
      <c r="F238" s="32"/>
      <c r="G238" s="32"/>
      <c r="H238" s="53" t="str">
        <f aca="false">IF(OR($E238="",$F238=""),"",$E238*$F238)</f>
        <v/>
      </c>
      <c r="I238" s="53" t="str">
        <f aca="false">IF(OR($E238="",$F238=""),"",$E238*(1+$F238/30))</f>
        <v/>
      </c>
      <c r="J238" s="52"/>
    </row>
    <row r="239" customFormat="false" ht="15" hidden="false" customHeight="false" outlineLevel="0" collapsed="false">
      <c r="A239" s="51"/>
      <c r="B239" s="52"/>
      <c r="C239" s="52"/>
      <c r="D239" s="32"/>
      <c r="E239" s="13"/>
      <c r="F239" s="32"/>
      <c r="G239" s="32"/>
      <c r="H239" s="53" t="str">
        <f aca="false">IF(OR($E239="",$F239=""),"",$E239*$F239)</f>
        <v/>
      </c>
      <c r="I239" s="53" t="str">
        <f aca="false">IF(OR($E239="",$F239=""),"",$E239*(1+$F239/30))</f>
        <v/>
      </c>
      <c r="J239" s="52"/>
    </row>
    <row r="240" customFormat="false" ht="15" hidden="false" customHeight="false" outlineLevel="0" collapsed="false">
      <c r="A240" s="51"/>
      <c r="B240" s="52"/>
      <c r="C240" s="52"/>
      <c r="D240" s="32"/>
      <c r="E240" s="13"/>
      <c r="F240" s="32"/>
      <c r="G240" s="32"/>
      <c r="H240" s="53" t="str">
        <f aca="false">IF(OR($E240="",$F240=""),"",$E240*$F240)</f>
        <v/>
      </c>
      <c r="I240" s="53" t="str">
        <f aca="false">IF(OR($E240="",$F240=""),"",$E240*(1+$F240/30))</f>
        <v/>
      </c>
      <c r="J240" s="52"/>
    </row>
    <row r="241" customFormat="false" ht="15" hidden="false" customHeight="false" outlineLevel="0" collapsed="false">
      <c r="A241" s="51"/>
      <c r="B241" s="52"/>
      <c r="C241" s="52"/>
      <c r="D241" s="32"/>
      <c r="E241" s="13"/>
      <c r="F241" s="32"/>
      <c r="G241" s="32"/>
      <c r="H241" s="53" t="str">
        <f aca="false">IF(OR($E241="",$F241=""),"",$E241*$F241)</f>
        <v/>
      </c>
      <c r="I241" s="53" t="str">
        <f aca="false">IF(OR($E241="",$F241=""),"",$E241*(1+$F241/30))</f>
        <v/>
      </c>
      <c r="J241" s="52"/>
    </row>
    <row r="242" customFormat="false" ht="15" hidden="false" customHeight="false" outlineLevel="0" collapsed="false">
      <c r="A242" s="51"/>
      <c r="B242" s="52"/>
      <c r="C242" s="52"/>
      <c r="D242" s="32"/>
      <c r="E242" s="13"/>
      <c r="F242" s="32"/>
      <c r="G242" s="32"/>
      <c r="H242" s="53" t="str">
        <f aca="false">IF(OR($E242="",$F242=""),"",$E242*$F242)</f>
        <v/>
      </c>
      <c r="I242" s="53" t="str">
        <f aca="false">IF(OR($E242="",$F242=""),"",$E242*(1+$F242/30))</f>
        <v/>
      </c>
      <c r="J242" s="52"/>
    </row>
    <row r="243" customFormat="false" ht="15" hidden="false" customHeight="false" outlineLevel="0" collapsed="false">
      <c r="A243" s="51"/>
      <c r="B243" s="52"/>
      <c r="C243" s="52"/>
      <c r="D243" s="32"/>
      <c r="E243" s="13"/>
      <c r="F243" s="32"/>
      <c r="G243" s="32"/>
      <c r="H243" s="53" t="str">
        <f aca="false">IF(OR($E243="",$F243=""),"",$E243*$F243)</f>
        <v/>
      </c>
      <c r="I243" s="53" t="str">
        <f aca="false">IF(OR($E243="",$F243=""),"",$E243*(1+$F243/30))</f>
        <v/>
      </c>
      <c r="J243" s="52"/>
    </row>
    <row r="244" customFormat="false" ht="15" hidden="false" customHeight="false" outlineLevel="0" collapsed="false">
      <c r="A244" s="51"/>
      <c r="B244" s="52"/>
      <c r="C244" s="52"/>
      <c r="D244" s="32"/>
      <c r="E244" s="13"/>
      <c r="F244" s="32"/>
      <c r="G244" s="32"/>
      <c r="H244" s="53" t="str">
        <f aca="false">IF(OR($E244="",$F244=""),"",$E244*$F244)</f>
        <v/>
      </c>
      <c r="I244" s="53" t="str">
        <f aca="false">IF(OR($E244="",$F244=""),"",$E244*(1+$F244/30))</f>
        <v/>
      </c>
      <c r="J244" s="52"/>
    </row>
    <row r="245" customFormat="false" ht="15" hidden="false" customHeight="false" outlineLevel="0" collapsed="false">
      <c r="A245" s="51"/>
      <c r="B245" s="52"/>
      <c r="C245" s="52"/>
      <c r="D245" s="32"/>
      <c r="E245" s="13"/>
      <c r="F245" s="32"/>
      <c r="G245" s="32"/>
      <c r="H245" s="53" t="str">
        <f aca="false">IF(OR($E245="",$F245=""),"",$E245*$F245)</f>
        <v/>
      </c>
      <c r="I245" s="53" t="str">
        <f aca="false">IF(OR($E245="",$F245=""),"",$E245*(1+$F245/30))</f>
        <v/>
      </c>
      <c r="J245" s="52"/>
    </row>
    <row r="246" customFormat="false" ht="15" hidden="false" customHeight="false" outlineLevel="0" collapsed="false">
      <c r="A246" s="51"/>
      <c r="B246" s="52"/>
      <c r="C246" s="52"/>
      <c r="D246" s="32"/>
      <c r="E246" s="13"/>
      <c r="F246" s="32"/>
      <c r="G246" s="32"/>
      <c r="H246" s="53" t="str">
        <f aca="false">IF(OR($E246="",$F246=""),"",$E246*$F246)</f>
        <v/>
      </c>
      <c r="I246" s="53" t="str">
        <f aca="false">IF(OR($E246="",$F246=""),"",$E246*(1+$F246/30))</f>
        <v/>
      </c>
      <c r="J246" s="52"/>
    </row>
    <row r="247" customFormat="false" ht="15" hidden="false" customHeight="false" outlineLevel="0" collapsed="false">
      <c r="A247" s="51"/>
      <c r="B247" s="52"/>
      <c r="C247" s="52"/>
      <c r="D247" s="32"/>
      <c r="E247" s="13"/>
      <c r="F247" s="32"/>
      <c r="G247" s="32"/>
      <c r="H247" s="53" t="str">
        <f aca="false">IF(OR($E247="",$F247=""),"",$E247*$F247)</f>
        <v/>
      </c>
      <c r="I247" s="53" t="str">
        <f aca="false">IF(OR($E247="",$F247=""),"",$E247*(1+$F247/30))</f>
        <v/>
      </c>
      <c r="J247" s="52"/>
    </row>
    <row r="248" customFormat="false" ht="15" hidden="false" customHeight="false" outlineLevel="0" collapsed="false">
      <c r="A248" s="51"/>
      <c r="B248" s="52"/>
      <c r="C248" s="52"/>
      <c r="D248" s="32"/>
      <c r="E248" s="13"/>
      <c r="F248" s="32"/>
      <c r="G248" s="32"/>
      <c r="H248" s="53" t="str">
        <f aca="false">IF(OR($E248="",$F248=""),"",$E248*$F248)</f>
        <v/>
      </c>
      <c r="I248" s="53" t="str">
        <f aca="false">IF(OR($E248="",$F248=""),"",$E248*(1+$F248/30))</f>
        <v/>
      </c>
      <c r="J248" s="52"/>
    </row>
    <row r="249" customFormat="false" ht="15" hidden="false" customHeight="false" outlineLevel="0" collapsed="false">
      <c r="A249" s="51"/>
      <c r="B249" s="52"/>
      <c r="C249" s="52"/>
      <c r="D249" s="32"/>
      <c r="E249" s="13"/>
      <c r="F249" s="32"/>
      <c r="G249" s="32"/>
      <c r="H249" s="53" t="str">
        <f aca="false">IF(OR($E249="",$F249=""),"",$E249*$F249)</f>
        <v/>
      </c>
      <c r="I249" s="53" t="str">
        <f aca="false">IF(OR($E249="",$F249=""),"",$E249*(1+$F249/30))</f>
        <v/>
      </c>
      <c r="J249" s="52"/>
    </row>
    <row r="250" customFormat="false" ht="15" hidden="false" customHeight="false" outlineLevel="0" collapsed="false">
      <c r="A250" s="51"/>
      <c r="B250" s="52"/>
      <c r="C250" s="52"/>
      <c r="D250" s="32"/>
      <c r="E250" s="13"/>
      <c r="F250" s="32"/>
      <c r="G250" s="32"/>
      <c r="H250" s="53" t="str">
        <f aca="false">IF(OR($E250="",$F250=""),"",$E250*$F250)</f>
        <v/>
      </c>
      <c r="I250" s="53" t="str">
        <f aca="false">IF(OR($E250="",$F250=""),"",$E250*(1+$F250/30))</f>
        <v/>
      </c>
      <c r="J250" s="52"/>
    </row>
    <row r="251" customFormat="false" ht="15" hidden="false" customHeight="false" outlineLevel="0" collapsed="false">
      <c r="A251" s="51"/>
      <c r="B251" s="52"/>
      <c r="C251" s="52"/>
      <c r="D251" s="32"/>
      <c r="E251" s="13"/>
      <c r="F251" s="32"/>
      <c r="G251" s="32"/>
      <c r="H251" s="53" t="str">
        <f aca="false">IF(OR($E251="",$F251=""),"",$E251*$F251)</f>
        <v/>
      </c>
      <c r="I251" s="53" t="str">
        <f aca="false">IF(OR($E251="",$F251=""),"",$E251*(1+$F251/30))</f>
        <v/>
      </c>
      <c r="J251" s="52"/>
    </row>
    <row r="252" customFormat="false" ht="15" hidden="false" customHeight="false" outlineLevel="0" collapsed="false">
      <c r="A252" s="51"/>
      <c r="B252" s="52"/>
      <c r="C252" s="52"/>
      <c r="D252" s="32"/>
      <c r="E252" s="13"/>
      <c r="F252" s="32"/>
      <c r="G252" s="32"/>
      <c r="H252" s="53" t="str">
        <f aca="false">IF(OR($E252="",$F252=""),"",$E252*$F252)</f>
        <v/>
      </c>
      <c r="I252" s="53" t="str">
        <f aca="false">IF(OR($E252="",$F252=""),"",$E252*(1+$F252/30))</f>
        <v/>
      </c>
      <c r="J252" s="52"/>
    </row>
    <row r="253" customFormat="false" ht="15" hidden="false" customHeight="false" outlineLevel="0" collapsed="false">
      <c r="A253" s="51"/>
      <c r="B253" s="52"/>
      <c r="C253" s="52"/>
      <c r="D253" s="32"/>
      <c r="E253" s="13"/>
      <c r="F253" s="32"/>
      <c r="G253" s="32"/>
      <c r="H253" s="53" t="str">
        <f aca="false">IF(OR($E253="",$F253=""),"",$E253*$F253)</f>
        <v/>
      </c>
      <c r="I253" s="53" t="str">
        <f aca="false">IF(OR($E253="",$F253=""),"",$E253*(1+$F253/30))</f>
        <v/>
      </c>
      <c r="J253" s="52"/>
    </row>
    <row r="254" customFormat="false" ht="15" hidden="false" customHeight="false" outlineLevel="0" collapsed="false">
      <c r="A254" s="51"/>
      <c r="B254" s="52"/>
      <c r="C254" s="52"/>
      <c r="D254" s="32"/>
      <c r="E254" s="13"/>
      <c r="F254" s="32"/>
      <c r="G254" s="32"/>
      <c r="H254" s="53" t="str">
        <f aca="false">IF(OR($E254="",$F254=""),"",$E254*$F254)</f>
        <v/>
      </c>
      <c r="I254" s="53" t="str">
        <f aca="false">IF(OR($E254="",$F254=""),"",$E254*(1+$F254/30))</f>
        <v/>
      </c>
      <c r="J254" s="52"/>
    </row>
    <row r="255" customFormat="false" ht="15" hidden="false" customHeight="false" outlineLevel="0" collapsed="false">
      <c r="A255" s="51"/>
      <c r="B255" s="52"/>
      <c r="C255" s="52"/>
      <c r="D255" s="32"/>
      <c r="E255" s="13"/>
      <c r="F255" s="32"/>
      <c r="G255" s="32"/>
      <c r="H255" s="53" t="str">
        <f aca="false">IF(OR($E255="",$F255=""),"",$E255*$F255)</f>
        <v/>
      </c>
      <c r="I255" s="53" t="str">
        <f aca="false">IF(OR($E255="",$F255=""),"",$E255*(1+$F255/30))</f>
        <v/>
      </c>
      <c r="J255" s="52"/>
    </row>
    <row r="256" customFormat="false" ht="15" hidden="false" customHeight="false" outlineLevel="0" collapsed="false">
      <c r="A256" s="51"/>
      <c r="B256" s="52"/>
      <c r="C256" s="52"/>
      <c r="D256" s="32"/>
      <c r="E256" s="13"/>
      <c r="F256" s="32"/>
      <c r="G256" s="32"/>
      <c r="H256" s="53" t="str">
        <f aca="false">IF(OR($E256="",$F256=""),"",$E256*$F256)</f>
        <v/>
      </c>
      <c r="I256" s="53" t="str">
        <f aca="false">IF(OR($E256="",$F256=""),"",$E256*(1+$F256/30))</f>
        <v/>
      </c>
      <c r="J256" s="52"/>
    </row>
    <row r="257" customFormat="false" ht="15" hidden="false" customHeight="false" outlineLevel="0" collapsed="false">
      <c r="A257" s="51"/>
      <c r="B257" s="52"/>
      <c r="C257" s="52"/>
      <c r="D257" s="32"/>
      <c r="E257" s="13"/>
      <c r="F257" s="32"/>
      <c r="G257" s="32"/>
      <c r="H257" s="53" t="str">
        <f aca="false">IF(OR($E257="",$F257=""),"",$E257*$F257)</f>
        <v/>
      </c>
      <c r="I257" s="53" t="str">
        <f aca="false">IF(OR($E257="",$F257=""),"",$E257*(1+$F257/30))</f>
        <v/>
      </c>
      <c r="J257" s="52"/>
    </row>
    <row r="258" customFormat="false" ht="15" hidden="false" customHeight="false" outlineLevel="0" collapsed="false">
      <c r="A258" s="51"/>
      <c r="B258" s="52"/>
      <c r="C258" s="52"/>
      <c r="D258" s="32"/>
      <c r="E258" s="13"/>
      <c r="F258" s="32"/>
      <c r="G258" s="32"/>
      <c r="H258" s="53" t="str">
        <f aca="false">IF(OR($E258="",$F258=""),"",$E258*$F258)</f>
        <v/>
      </c>
      <c r="I258" s="53" t="str">
        <f aca="false">IF(OR($E258="",$F258=""),"",$E258*(1+$F258/30))</f>
        <v/>
      </c>
      <c r="J258" s="52"/>
    </row>
    <row r="259" customFormat="false" ht="15" hidden="false" customHeight="false" outlineLevel="0" collapsed="false">
      <c r="A259" s="51"/>
      <c r="B259" s="52"/>
      <c r="C259" s="52"/>
      <c r="D259" s="32"/>
      <c r="E259" s="13"/>
      <c r="F259" s="32"/>
      <c r="G259" s="32"/>
      <c r="H259" s="53" t="str">
        <f aca="false">IF(OR($E259="",$F259=""),"",$E259*$F259)</f>
        <v/>
      </c>
      <c r="I259" s="53" t="str">
        <f aca="false">IF(OR($E259="",$F259=""),"",$E259*(1+$F259/30))</f>
        <v/>
      </c>
      <c r="J259" s="52"/>
    </row>
    <row r="260" customFormat="false" ht="15" hidden="false" customHeight="false" outlineLevel="0" collapsed="false">
      <c r="A260" s="51"/>
      <c r="B260" s="52"/>
      <c r="C260" s="52"/>
      <c r="D260" s="32"/>
      <c r="E260" s="13"/>
      <c r="F260" s="32"/>
      <c r="G260" s="32"/>
      <c r="H260" s="53" t="str">
        <f aca="false">IF(OR($E260="",$F260=""),"",$E260*$F260)</f>
        <v/>
      </c>
      <c r="I260" s="53" t="str">
        <f aca="false">IF(OR($E260="",$F260=""),"",$E260*(1+$F260/30))</f>
        <v/>
      </c>
      <c r="J260" s="52"/>
    </row>
    <row r="261" customFormat="false" ht="15" hidden="false" customHeight="false" outlineLevel="0" collapsed="false">
      <c r="A261" s="51"/>
      <c r="B261" s="52"/>
      <c r="C261" s="52"/>
      <c r="D261" s="32"/>
      <c r="E261" s="13"/>
      <c r="F261" s="32"/>
      <c r="G261" s="32"/>
      <c r="H261" s="53" t="str">
        <f aca="false">IF(OR($E261="",$F261=""),"",$E261*$F261)</f>
        <v/>
      </c>
      <c r="I261" s="53" t="str">
        <f aca="false">IF(OR($E261="",$F261=""),"",$E261*(1+$F261/30))</f>
        <v/>
      </c>
      <c r="J261" s="52"/>
    </row>
    <row r="262" customFormat="false" ht="15" hidden="false" customHeight="false" outlineLevel="0" collapsed="false">
      <c r="A262" s="51"/>
      <c r="B262" s="52"/>
      <c r="C262" s="52"/>
      <c r="D262" s="32"/>
      <c r="E262" s="13"/>
      <c r="F262" s="32"/>
      <c r="G262" s="32"/>
      <c r="H262" s="53" t="str">
        <f aca="false">IF(OR($E262="",$F262=""),"",$E262*$F262)</f>
        <v/>
      </c>
      <c r="I262" s="53" t="str">
        <f aca="false">IF(OR($E262="",$F262=""),"",$E262*(1+$F262/30))</f>
        <v/>
      </c>
      <c r="J262" s="52"/>
    </row>
    <row r="263" customFormat="false" ht="15" hidden="false" customHeight="false" outlineLevel="0" collapsed="false">
      <c r="A263" s="51"/>
      <c r="B263" s="52"/>
      <c r="C263" s="52"/>
      <c r="D263" s="32"/>
      <c r="E263" s="13"/>
      <c r="F263" s="32"/>
      <c r="G263" s="32"/>
      <c r="H263" s="53" t="str">
        <f aca="false">IF(OR($E263="",$F263=""),"",$E263*$F263)</f>
        <v/>
      </c>
      <c r="I263" s="53" t="str">
        <f aca="false">IF(OR($E263="",$F263=""),"",$E263*(1+$F263/30))</f>
        <v/>
      </c>
      <c r="J263" s="52"/>
    </row>
    <row r="264" customFormat="false" ht="15" hidden="false" customHeight="false" outlineLevel="0" collapsed="false">
      <c r="A264" s="51"/>
      <c r="B264" s="52"/>
      <c r="C264" s="52"/>
      <c r="D264" s="32"/>
      <c r="E264" s="13"/>
      <c r="F264" s="32"/>
      <c r="G264" s="32"/>
      <c r="H264" s="53" t="str">
        <f aca="false">IF(OR($E264="",$F264=""),"",$E264*$F264)</f>
        <v/>
      </c>
      <c r="I264" s="53" t="str">
        <f aca="false">IF(OR($E264="",$F264=""),"",$E264*(1+$F264/30))</f>
        <v/>
      </c>
      <c r="J264" s="52"/>
    </row>
    <row r="265" customFormat="false" ht="15" hidden="false" customHeight="false" outlineLevel="0" collapsed="false">
      <c r="A265" s="51"/>
      <c r="B265" s="52"/>
      <c r="C265" s="52"/>
      <c r="D265" s="32"/>
      <c r="E265" s="13"/>
      <c r="F265" s="32"/>
      <c r="G265" s="32"/>
      <c r="H265" s="53" t="str">
        <f aca="false">IF(OR($E265="",$F265=""),"",$E265*$F265)</f>
        <v/>
      </c>
      <c r="I265" s="53" t="str">
        <f aca="false">IF(OR($E265="",$F265=""),"",$E265*(1+$F265/30))</f>
        <v/>
      </c>
      <c r="J265" s="52"/>
    </row>
    <row r="266" customFormat="false" ht="15" hidden="false" customHeight="false" outlineLevel="0" collapsed="false">
      <c r="A266" s="51"/>
      <c r="B266" s="52"/>
      <c r="C266" s="52"/>
      <c r="D266" s="32"/>
      <c r="E266" s="13"/>
      <c r="F266" s="32"/>
      <c r="G266" s="32"/>
      <c r="H266" s="53" t="str">
        <f aca="false">IF(OR($E266="",$F266=""),"",$E266*$F266)</f>
        <v/>
      </c>
      <c r="I266" s="53" t="str">
        <f aca="false">IF(OR($E266="",$F266=""),"",$E266*(1+$F266/30))</f>
        <v/>
      </c>
      <c r="J266" s="52"/>
    </row>
    <row r="267" customFormat="false" ht="15" hidden="false" customHeight="false" outlineLevel="0" collapsed="false">
      <c r="A267" s="51"/>
      <c r="B267" s="52"/>
      <c r="C267" s="52"/>
      <c r="D267" s="32"/>
      <c r="E267" s="13"/>
      <c r="F267" s="32"/>
      <c r="G267" s="32"/>
      <c r="H267" s="53" t="str">
        <f aca="false">IF(OR($E267="",$F267=""),"",$E267*$F267)</f>
        <v/>
      </c>
      <c r="I267" s="53" t="str">
        <f aca="false">IF(OR($E267="",$F267=""),"",$E267*(1+$F267/30))</f>
        <v/>
      </c>
      <c r="J267" s="52"/>
    </row>
    <row r="268" customFormat="false" ht="15" hidden="false" customHeight="false" outlineLevel="0" collapsed="false">
      <c r="A268" s="51"/>
      <c r="B268" s="52"/>
      <c r="C268" s="52"/>
      <c r="D268" s="32"/>
      <c r="E268" s="13"/>
      <c r="F268" s="32"/>
      <c r="G268" s="32"/>
      <c r="H268" s="53" t="str">
        <f aca="false">IF(OR($E268="",$F268=""),"",$E268*$F268)</f>
        <v/>
      </c>
      <c r="I268" s="53" t="str">
        <f aca="false">IF(OR($E268="",$F268=""),"",$E268*(1+$F268/30))</f>
        <v/>
      </c>
      <c r="J268" s="52"/>
    </row>
    <row r="269" customFormat="false" ht="15" hidden="false" customHeight="false" outlineLevel="0" collapsed="false">
      <c r="A269" s="51"/>
      <c r="B269" s="52"/>
      <c r="C269" s="52"/>
      <c r="D269" s="32"/>
      <c r="E269" s="13"/>
      <c r="F269" s="32"/>
      <c r="G269" s="32"/>
      <c r="H269" s="53" t="str">
        <f aca="false">IF(OR($E269="",$F269=""),"",$E269*$F269)</f>
        <v/>
      </c>
      <c r="I269" s="53" t="str">
        <f aca="false">IF(OR($E269="",$F269=""),"",$E269*(1+$F269/30))</f>
        <v/>
      </c>
      <c r="J269" s="52"/>
    </row>
    <row r="270" customFormat="false" ht="15" hidden="false" customHeight="false" outlineLevel="0" collapsed="false">
      <c r="A270" s="51"/>
      <c r="B270" s="52"/>
      <c r="C270" s="52"/>
      <c r="D270" s="32"/>
      <c r="E270" s="13"/>
      <c r="F270" s="32"/>
      <c r="G270" s="32"/>
      <c r="H270" s="53" t="str">
        <f aca="false">IF(OR($E270="",$F270=""),"",$E270*$F270)</f>
        <v/>
      </c>
      <c r="I270" s="53" t="str">
        <f aca="false">IF(OR($E270="",$F270=""),"",$E270*(1+$F270/30))</f>
        <v/>
      </c>
      <c r="J270" s="52"/>
    </row>
    <row r="271" customFormat="false" ht="15" hidden="false" customHeight="false" outlineLevel="0" collapsed="false">
      <c r="A271" s="51"/>
      <c r="B271" s="52"/>
      <c r="C271" s="52"/>
      <c r="D271" s="32"/>
      <c r="E271" s="13"/>
      <c r="F271" s="32"/>
      <c r="G271" s="32"/>
      <c r="H271" s="53" t="str">
        <f aca="false">IF(OR($E271="",$F271=""),"",$E271*$F271)</f>
        <v/>
      </c>
      <c r="I271" s="53" t="str">
        <f aca="false">IF(OR($E271="",$F271=""),"",$E271*(1+$F271/30))</f>
        <v/>
      </c>
      <c r="J271" s="52"/>
    </row>
    <row r="272" customFormat="false" ht="15" hidden="false" customHeight="false" outlineLevel="0" collapsed="false">
      <c r="A272" s="51"/>
      <c r="B272" s="52"/>
      <c r="C272" s="52"/>
      <c r="D272" s="32"/>
      <c r="E272" s="13"/>
      <c r="F272" s="32"/>
      <c r="G272" s="32"/>
      <c r="H272" s="53" t="str">
        <f aca="false">IF(OR($E272="",$F272=""),"",$E272*$F272)</f>
        <v/>
      </c>
      <c r="I272" s="53" t="str">
        <f aca="false">IF(OR($E272="",$F272=""),"",$E272*(1+$F272/30))</f>
        <v/>
      </c>
      <c r="J272" s="52"/>
    </row>
    <row r="273" customFormat="false" ht="15" hidden="false" customHeight="false" outlineLevel="0" collapsed="false">
      <c r="A273" s="51"/>
      <c r="B273" s="52"/>
      <c r="C273" s="52"/>
      <c r="D273" s="32"/>
      <c r="E273" s="13"/>
      <c r="F273" s="32"/>
      <c r="G273" s="32"/>
      <c r="H273" s="53" t="str">
        <f aca="false">IF(OR($E273="",$F273=""),"",$E273*$F273)</f>
        <v/>
      </c>
      <c r="I273" s="53" t="str">
        <f aca="false">IF(OR($E273="",$F273=""),"",$E273*(1+$F273/30))</f>
        <v/>
      </c>
      <c r="J273" s="52"/>
    </row>
    <row r="274" customFormat="false" ht="15" hidden="false" customHeight="false" outlineLevel="0" collapsed="false">
      <c r="A274" s="51"/>
      <c r="B274" s="52"/>
      <c r="C274" s="52"/>
      <c r="D274" s="32"/>
      <c r="E274" s="13"/>
      <c r="F274" s="32"/>
      <c r="G274" s="32"/>
      <c r="H274" s="53" t="str">
        <f aca="false">IF(OR($E274="",$F274=""),"",$E274*$F274)</f>
        <v/>
      </c>
      <c r="I274" s="53" t="str">
        <f aca="false">IF(OR($E274="",$F274=""),"",$E274*(1+$F274/30))</f>
        <v/>
      </c>
      <c r="J274" s="52"/>
    </row>
    <row r="275" customFormat="false" ht="15" hidden="false" customHeight="false" outlineLevel="0" collapsed="false">
      <c r="A275" s="51"/>
      <c r="B275" s="52"/>
      <c r="C275" s="52"/>
      <c r="D275" s="32"/>
      <c r="E275" s="13"/>
      <c r="F275" s="32"/>
      <c r="G275" s="32"/>
      <c r="H275" s="53" t="str">
        <f aca="false">IF(OR($E275="",$F275=""),"",$E275*$F275)</f>
        <v/>
      </c>
      <c r="I275" s="53" t="str">
        <f aca="false">IF(OR($E275="",$F275=""),"",$E275*(1+$F275/30))</f>
        <v/>
      </c>
      <c r="J275" s="52"/>
    </row>
    <row r="276" customFormat="false" ht="15" hidden="false" customHeight="false" outlineLevel="0" collapsed="false">
      <c r="A276" s="51"/>
      <c r="B276" s="52"/>
      <c r="C276" s="52"/>
      <c r="D276" s="32"/>
      <c r="E276" s="13"/>
      <c r="F276" s="32"/>
      <c r="G276" s="32"/>
      <c r="H276" s="53" t="str">
        <f aca="false">IF(OR($E276="",$F276=""),"",$E276*$F276)</f>
        <v/>
      </c>
      <c r="I276" s="53" t="str">
        <f aca="false">IF(OR($E276="",$F276=""),"",$E276*(1+$F276/30))</f>
        <v/>
      </c>
      <c r="J276" s="52"/>
    </row>
    <row r="277" customFormat="false" ht="15" hidden="false" customHeight="false" outlineLevel="0" collapsed="false">
      <c r="A277" s="51"/>
      <c r="B277" s="52"/>
      <c r="C277" s="52"/>
      <c r="D277" s="32"/>
      <c r="E277" s="13"/>
      <c r="F277" s="32"/>
      <c r="G277" s="32"/>
      <c r="H277" s="53" t="str">
        <f aca="false">IF(OR($E277="",$F277=""),"",$E277*$F277)</f>
        <v/>
      </c>
      <c r="I277" s="53" t="str">
        <f aca="false">IF(OR($E277="",$F277=""),"",$E277*(1+$F277/30))</f>
        <v/>
      </c>
      <c r="J277" s="52"/>
    </row>
    <row r="278" customFormat="false" ht="15" hidden="false" customHeight="false" outlineLevel="0" collapsed="false">
      <c r="A278" s="51"/>
      <c r="B278" s="52"/>
      <c r="C278" s="52"/>
      <c r="D278" s="32"/>
      <c r="E278" s="13"/>
      <c r="F278" s="32"/>
      <c r="G278" s="32"/>
      <c r="H278" s="53" t="str">
        <f aca="false">IF(OR($E278="",$F278=""),"",$E278*$F278)</f>
        <v/>
      </c>
      <c r="I278" s="53" t="str">
        <f aca="false">IF(OR($E278="",$F278=""),"",$E278*(1+$F278/30))</f>
        <v/>
      </c>
      <c r="J278" s="52"/>
    </row>
    <row r="279" customFormat="false" ht="15" hidden="false" customHeight="false" outlineLevel="0" collapsed="false">
      <c r="A279" s="51"/>
      <c r="B279" s="52"/>
      <c r="C279" s="52"/>
      <c r="D279" s="32"/>
      <c r="E279" s="13"/>
      <c r="F279" s="32"/>
      <c r="G279" s="32"/>
      <c r="H279" s="53" t="str">
        <f aca="false">IF(OR($E279="",$F279=""),"",$E279*$F279)</f>
        <v/>
      </c>
      <c r="I279" s="53" t="str">
        <f aca="false">IF(OR($E279="",$F279=""),"",$E279*(1+$F279/30))</f>
        <v/>
      </c>
      <c r="J279" s="52"/>
    </row>
    <row r="280" customFormat="false" ht="15" hidden="false" customHeight="false" outlineLevel="0" collapsed="false">
      <c r="A280" s="51"/>
      <c r="B280" s="52"/>
      <c r="C280" s="52"/>
      <c r="D280" s="32"/>
      <c r="E280" s="13"/>
      <c r="F280" s="32"/>
      <c r="G280" s="32"/>
      <c r="H280" s="53" t="str">
        <f aca="false">IF(OR($E280="",$F280=""),"",$E280*$F280)</f>
        <v/>
      </c>
      <c r="I280" s="53" t="str">
        <f aca="false">IF(OR($E280="",$F280=""),"",$E280*(1+$F280/30))</f>
        <v/>
      </c>
      <c r="J280" s="52"/>
    </row>
    <row r="281" customFormat="false" ht="15" hidden="false" customHeight="false" outlineLevel="0" collapsed="false">
      <c r="A281" s="51"/>
      <c r="B281" s="52"/>
      <c r="C281" s="52"/>
      <c r="D281" s="32"/>
      <c r="E281" s="13"/>
      <c r="F281" s="32"/>
      <c r="G281" s="32"/>
      <c r="H281" s="53" t="str">
        <f aca="false">IF(OR($E281="",$F281=""),"",$E281*$F281)</f>
        <v/>
      </c>
      <c r="I281" s="53" t="str">
        <f aca="false">IF(OR($E281="",$F281=""),"",$E281*(1+$F281/30))</f>
        <v/>
      </c>
      <c r="J281" s="52"/>
    </row>
    <row r="282" customFormat="false" ht="15" hidden="false" customHeight="false" outlineLevel="0" collapsed="false">
      <c r="A282" s="51"/>
      <c r="B282" s="52"/>
      <c r="C282" s="52"/>
      <c r="D282" s="32"/>
      <c r="E282" s="13"/>
      <c r="F282" s="32"/>
      <c r="G282" s="32"/>
      <c r="H282" s="53" t="str">
        <f aca="false">IF(OR($E282="",$F282=""),"",$E282*$F282)</f>
        <v/>
      </c>
      <c r="I282" s="53" t="str">
        <f aca="false">IF(OR($E282="",$F282=""),"",$E282*(1+$F282/30))</f>
        <v/>
      </c>
      <c r="J282" s="52"/>
    </row>
    <row r="283" customFormat="false" ht="15" hidden="false" customHeight="false" outlineLevel="0" collapsed="false">
      <c r="A283" s="51"/>
      <c r="B283" s="52"/>
      <c r="C283" s="52"/>
      <c r="D283" s="32"/>
      <c r="E283" s="13"/>
      <c r="F283" s="32"/>
      <c r="G283" s="32"/>
      <c r="H283" s="53" t="str">
        <f aca="false">IF(OR($E283="",$F283=""),"",$E283*$F283)</f>
        <v/>
      </c>
      <c r="I283" s="53" t="str">
        <f aca="false">IF(OR($E283="",$F283=""),"",$E283*(1+$F283/30))</f>
        <v/>
      </c>
      <c r="J283" s="52"/>
    </row>
    <row r="284" customFormat="false" ht="15" hidden="false" customHeight="false" outlineLevel="0" collapsed="false">
      <c r="A284" s="51"/>
      <c r="B284" s="52"/>
      <c r="C284" s="52"/>
      <c r="D284" s="32"/>
      <c r="E284" s="13"/>
      <c r="F284" s="32"/>
      <c r="G284" s="32"/>
      <c r="H284" s="53" t="str">
        <f aca="false">IF(OR($E284="",$F284=""),"",$E284*$F284)</f>
        <v/>
      </c>
      <c r="I284" s="53" t="str">
        <f aca="false">IF(OR($E284="",$F284=""),"",$E284*(1+$F284/30))</f>
        <v/>
      </c>
      <c r="J284" s="52"/>
    </row>
    <row r="285" customFormat="false" ht="15" hidden="false" customHeight="false" outlineLevel="0" collapsed="false">
      <c r="A285" s="51"/>
      <c r="B285" s="52"/>
      <c r="C285" s="52"/>
      <c r="D285" s="32"/>
      <c r="E285" s="13"/>
      <c r="F285" s="32"/>
      <c r="G285" s="32"/>
      <c r="H285" s="53" t="str">
        <f aca="false">IF(OR($E285="",$F285=""),"",$E285*$F285)</f>
        <v/>
      </c>
      <c r="I285" s="53" t="str">
        <f aca="false">IF(OR($E285="",$F285=""),"",$E285*(1+$F285/30))</f>
        <v/>
      </c>
      <c r="J285" s="52"/>
    </row>
    <row r="286" customFormat="false" ht="15" hidden="false" customHeight="false" outlineLevel="0" collapsed="false">
      <c r="A286" s="51"/>
      <c r="B286" s="52"/>
      <c r="C286" s="52"/>
      <c r="D286" s="32"/>
      <c r="E286" s="13"/>
      <c r="F286" s="32"/>
      <c r="G286" s="32"/>
      <c r="H286" s="53" t="str">
        <f aca="false">IF(OR($E286="",$F286=""),"",$E286*$F286)</f>
        <v/>
      </c>
      <c r="I286" s="53" t="str">
        <f aca="false">IF(OR($E286="",$F286=""),"",$E286*(1+$F286/30))</f>
        <v/>
      </c>
      <c r="J286" s="52"/>
    </row>
    <row r="287" customFormat="false" ht="15" hidden="false" customHeight="false" outlineLevel="0" collapsed="false">
      <c r="A287" s="51"/>
      <c r="B287" s="52"/>
      <c r="C287" s="52"/>
      <c r="D287" s="32"/>
      <c r="E287" s="13"/>
      <c r="F287" s="32"/>
      <c r="G287" s="32"/>
      <c r="H287" s="53" t="str">
        <f aca="false">IF(OR($E287="",$F287=""),"",$E287*$F287)</f>
        <v/>
      </c>
      <c r="I287" s="53" t="str">
        <f aca="false">IF(OR($E287="",$F287=""),"",$E287*(1+$F287/30))</f>
        <v/>
      </c>
      <c r="J287" s="52"/>
    </row>
    <row r="288" customFormat="false" ht="15" hidden="false" customHeight="false" outlineLevel="0" collapsed="false">
      <c r="A288" s="51"/>
      <c r="B288" s="52"/>
      <c r="C288" s="52"/>
      <c r="D288" s="32"/>
      <c r="E288" s="13"/>
      <c r="F288" s="32"/>
      <c r="G288" s="32"/>
      <c r="H288" s="53" t="str">
        <f aca="false">IF(OR($E288="",$F288=""),"",$E288*$F288)</f>
        <v/>
      </c>
      <c r="I288" s="53" t="str">
        <f aca="false">IF(OR($E288="",$F288=""),"",$E288*(1+$F288/30))</f>
        <v/>
      </c>
      <c r="J288" s="52"/>
    </row>
    <row r="289" customFormat="false" ht="15" hidden="false" customHeight="false" outlineLevel="0" collapsed="false">
      <c r="A289" s="51"/>
      <c r="B289" s="52"/>
      <c r="C289" s="52"/>
      <c r="D289" s="32"/>
      <c r="E289" s="13"/>
      <c r="F289" s="32"/>
      <c r="G289" s="32"/>
      <c r="H289" s="53" t="str">
        <f aca="false">IF(OR($E289="",$F289=""),"",$E289*$F289)</f>
        <v/>
      </c>
      <c r="I289" s="53" t="str">
        <f aca="false">IF(OR($E289="",$F289=""),"",$E289*(1+$F289/30))</f>
        <v/>
      </c>
      <c r="J289" s="52"/>
    </row>
    <row r="290" customFormat="false" ht="15" hidden="false" customHeight="false" outlineLevel="0" collapsed="false">
      <c r="A290" s="51"/>
      <c r="B290" s="52"/>
      <c r="C290" s="52"/>
      <c r="D290" s="32"/>
      <c r="E290" s="13"/>
      <c r="F290" s="32"/>
      <c r="G290" s="32"/>
      <c r="H290" s="53" t="str">
        <f aca="false">IF(OR($E290="",$F290=""),"",$E290*$F290)</f>
        <v/>
      </c>
      <c r="I290" s="53" t="str">
        <f aca="false">IF(OR($E290="",$F290=""),"",$E290*(1+$F290/30))</f>
        <v/>
      </c>
      <c r="J290" s="52"/>
    </row>
    <row r="291" customFormat="false" ht="15" hidden="false" customHeight="false" outlineLevel="0" collapsed="false">
      <c r="A291" s="51"/>
      <c r="B291" s="52"/>
      <c r="C291" s="52"/>
      <c r="D291" s="32"/>
      <c r="E291" s="13"/>
      <c r="F291" s="32"/>
      <c r="G291" s="32"/>
      <c r="H291" s="53" t="str">
        <f aca="false">IF(OR($E291="",$F291=""),"",$E291*$F291)</f>
        <v/>
      </c>
      <c r="I291" s="53" t="str">
        <f aca="false">IF(OR($E291="",$F291=""),"",$E291*(1+$F291/30))</f>
        <v/>
      </c>
      <c r="J291" s="52"/>
    </row>
    <row r="292" customFormat="false" ht="15" hidden="false" customHeight="false" outlineLevel="0" collapsed="false">
      <c r="A292" s="51"/>
      <c r="B292" s="52"/>
      <c r="C292" s="52"/>
      <c r="D292" s="32"/>
      <c r="E292" s="13"/>
      <c r="F292" s="32"/>
      <c r="G292" s="32"/>
      <c r="H292" s="53" t="str">
        <f aca="false">IF(OR($E292="",$F292=""),"",$E292*$F292)</f>
        <v/>
      </c>
      <c r="I292" s="53" t="str">
        <f aca="false">IF(OR($E292="",$F292=""),"",$E292*(1+$F292/30))</f>
        <v/>
      </c>
      <c r="J292" s="52"/>
    </row>
    <row r="293" customFormat="false" ht="15" hidden="false" customHeight="false" outlineLevel="0" collapsed="false">
      <c r="A293" s="51"/>
      <c r="B293" s="52"/>
      <c r="C293" s="52"/>
      <c r="D293" s="32"/>
      <c r="E293" s="13"/>
      <c r="F293" s="32"/>
      <c r="G293" s="32"/>
      <c r="H293" s="53" t="str">
        <f aca="false">IF(OR($E293="",$F293=""),"",$E293*$F293)</f>
        <v/>
      </c>
      <c r="I293" s="53" t="str">
        <f aca="false">IF(OR($E293="",$F293=""),"",$E293*(1+$F293/30))</f>
        <v/>
      </c>
      <c r="J293" s="52"/>
    </row>
    <row r="294" customFormat="false" ht="15" hidden="false" customHeight="false" outlineLevel="0" collapsed="false">
      <c r="A294" s="51"/>
      <c r="B294" s="52"/>
      <c r="C294" s="52"/>
      <c r="D294" s="32"/>
      <c r="E294" s="13"/>
      <c r="F294" s="32"/>
      <c r="G294" s="32"/>
      <c r="H294" s="53" t="str">
        <f aca="false">IF(OR($E294="",$F294=""),"",$E294*$F294)</f>
        <v/>
      </c>
      <c r="I294" s="53" t="str">
        <f aca="false">IF(OR($E294="",$F294=""),"",$E294*(1+$F294/30))</f>
        <v/>
      </c>
      <c r="J294" s="52"/>
    </row>
    <row r="295" customFormat="false" ht="15" hidden="false" customHeight="false" outlineLevel="0" collapsed="false">
      <c r="A295" s="51"/>
      <c r="B295" s="52"/>
      <c r="C295" s="52"/>
      <c r="D295" s="32"/>
      <c r="E295" s="13"/>
      <c r="F295" s="32"/>
      <c r="G295" s="32"/>
      <c r="H295" s="53" t="str">
        <f aca="false">IF(OR($E295="",$F295=""),"",$E295*$F295)</f>
        <v/>
      </c>
      <c r="I295" s="53" t="str">
        <f aca="false">IF(OR($E295="",$F295=""),"",$E295*(1+$F295/30))</f>
        <v/>
      </c>
      <c r="J295" s="52"/>
    </row>
    <row r="296" customFormat="false" ht="15" hidden="false" customHeight="false" outlineLevel="0" collapsed="false">
      <c r="A296" s="51"/>
      <c r="B296" s="52"/>
      <c r="C296" s="52"/>
      <c r="D296" s="32"/>
      <c r="E296" s="13"/>
      <c r="F296" s="32"/>
      <c r="G296" s="32"/>
      <c r="H296" s="53" t="str">
        <f aca="false">IF(OR($E296="",$F296=""),"",$E296*$F296)</f>
        <v/>
      </c>
      <c r="I296" s="53" t="str">
        <f aca="false">IF(OR($E296="",$F296=""),"",$E296*(1+$F296/30))</f>
        <v/>
      </c>
      <c r="J296" s="52"/>
    </row>
    <row r="297" customFormat="false" ht="15" hidden="false" customHeight="false" outlineLevel="0" collapsed="false">
      <c r="A297" s="51"/>
      <c r="B297" s="52"/>
      <c r="C297" s="52"/>
      <c r="D297" s="32"/>
      <c r="E297" s="13"/>
      <c r="F297" s="32"/>
      <c r="G297" s="32"/>
      <c r="H297" s="53" t="str">
        <f aca="false">IF(OR($E297="",$F297=""),"",$E297*$F297)</f>
        <v/>
      </c>
      <c r="I297" s="53" t="str">
        <f aca="false">IF(OR($E297="",$F297=""),"",$E297*(1+$F297/30))</f>
        <v/>
      </c>
      <c r="J297" s="52"/>
    </row>
    <row r="298" customFormat="false" ht="15" hidden="false" customHeight="false" outlineLevel="0" collapsed="false">
      <c r="A298" s="51"/>
      <c r="B298" s="52"/>
      <c r="C298" s="52"/>
      <c r="D298" s="32"/>
      <c r="E298" s="13"/>
      <c r="F298" s="32"/>
      <c r="G298" s="32"/>
      <c r="H298" s="53" t="str">
        <f aca="false">IF(OR($E298="",$F298=""),"",$E298*$F298)</f>
        <v/>
      </c>
      <c r="I298" s="53" t="str">
        <f aca="false">IF(OR($E298="",$F298=""),"",$E298*(1+$F298/30))</f>
        <v/>
      </c>
      <c r="J298" s="52"/>
    </row>
    <row r="299" customFormat="false" ht="15" hidden="false" customHeight="false" outlineLevel="0" collapsed="false">
      <c r="A299" s="51"/>
      <c r="B299" s="52"/>
      <c r="C299" s="52"/>
      <c r="D299" s="32"/>
      <c r="E299" s="13"/>
      <c r="F299" s="32"/>
      <c r="G299" s="32"/>
      <c r="H299" s="53" t="str">
        <f aca="false">IF(OR($E299="",$F299=""),"",$E299*$F299)</f>
        <v/>
      </c>
      <c r="I299" s="53" t="str">
        <f aca="false">IF(OR($E299="",$F299=""),"",$E299*(1+$F299/30))</f>
        <v/>
      </c>
      <c r="J299" s="52"/>
    </row>
    <row r="300" customFormat="false" ht="15" hidden="false" customHeight="false" outlineLevel="0" collapsed="false">
      <c r="A300" s="51"/>
      <c r="B300" s="52"/>
      <c r="C300" s="52"/>
      <c r="D300" s="32"/>
      <c r="E300" s="13"/>
      <c r="F300" s="32"/>
      <c r="G300" s="32"/>
      <c r="H300" s="53" t="str">
        <f aca="false">IF(OR($E300="",$F300=""),"",$E300*$F300)</f>
        <v/>
      </c>
      <c r="I300" s="53" t="str">
        <f aca="false">IF(OR($E300="",$F300=""),"",$E300*(1+$F300/30))</f>
        <v/>
      </c>
      <c r="J300" s="52"/>
    </row>
    <row r="301" customFormat="false" ht="15" hidden="false" customHeight="false" outlineLevel="0" collapsed="false">
      <c r="A301" s="51"/>
      <c r="B301" s="52"/>
      <c r="C301" s="52"/>
      <c r="D301" s="32"/>
      <c r="E301" s="13"/>
      <c r="F301" s="32"/>
      <c r="G301" s="32"/>
      <c r="H301" s="53" t="str">
        <f aca="false">IF(OR($E301="",$F301=""),"",$E301*$F301)</f>
        <v/>
      </c>
      <c r="I301" s="53" t="str">
        <f aca="false">IF(OR($E301="",$F301=""),"",$E301*(1+$F301/30))</f>
        <v/>
      </c>
      <c r="J301" s="52"/>
    </row>
  </sheetData>
  <autoFilter ref="A4:J301"/>
  <dataValidations count="1">
    <dataValidation allowBlank="true" errorStyle="stop" operator="between" showDropDown="false" showErrorMessage="false" showInputMessage="false" sqref="C5:C301" type="list">
      <formula1>ExPick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5"/>
    <col collapsed="false" customWidth="true" hidden="false" outlineLevel="0" max="3" min="3" style="0" width="14"/>
    <col collapsed="false" customWidth="true" hidden="false" outlineLevel="0" max="5" min="4" style="0" width="17"/>
    <col collapsed="false" customWidth="true" hidden="false" outlineLevel="0" max="6" min="6" style="0" width="16"/>
    <col collapsed="false" customWidth="true" hidden="false" outlineLevel="0" max="7" min="7" style="0" width="17"/>
    <col collapsed="false" customWidth="true" hidden="false" outlineLevel="0" max="8" min="8" style="0" width="13"/>
  </cols>
  <sheetData>
    <row r="1" customFormat="false" ht="24" hidden="false" customHeight="true" outlineLevel="0" collapsed="false">
      <c r="A1" s="1" t="s">
        <v>14</v>
      </c>
      <c r="B1" s="2"/>
      <c r="C1" s="2"/>
      <c r="D1" s="2"/>
      <c r="E1" s="2"/>
      <c r="F1" s="2"/>
      <c r="G1" s="2"/>
      <c r="H1" s="2"/>
    </row>
    <row r="2" customFormat="false" ht="15" hidden="false" customHeight="false" outlineLevel="0" collapsed="false">
      <c r="A2" s="8" t="s">
        <v>1060</v>
      </c>
      <c r="B2" s="2"/>
      <c r="C2" s="2"/>
      <c r="D2" s="2"/>
      <c r="E2" s="2"/>
      <c r="F2" s="2"/>
      <c r="G2" s="2"/>
      <c r="H2" s="2"/>
    </row>
    <row r="3" customFormat="false" ht="15" hidden="false" customHeight="false" outlineLevel="0" collapsed="false">
      <c r="A3" s="2"/>
      <c r="B3" s="2"/>
      <c r="C3" s="2"/>
      <c r="D3" s="2"/>
      <c r="E3" s="2"/>
      <c r="F3" s="2"/>
      <c r="G3" s="2"/>
      <c r="H3" s="2"/>
    </row>
    <row r="4" customFormat="false" ht="31.5" hidden="false" customHeight="true" outlineLevel="0" collapsed="false">
      <c r="A4" s="9" t="s">
        <v>52</v>
      </c>
      <c r="B4" s="9" t="s">
        <v>56</v>
      </c>
      <c r="C4" s="9" t="s">
        <v>60</v>
      </c>
      <c r="D4" s="9" t="s">
        <v>1061</v>
      </c>
      <c r="E4" s="9" t="s">
        <v>1062</v>
      </c>
      <c r="F4" s="9" t="s">
        <v>1063</v>
      </c>
      <c r="G4" s="9" t="s">
        <v>1064</v>
      </c>
      <c r="H4" s="9" t="s">
        <v>1065</v>
      </c>
    </row>
    <row r="5" customFormat="false" ht="15" hidden="false" customHeight="false" outlineLevel="0" collapsed="false">
      <c r="A5" s="54" t="s">
        <v>494</v>
      </c>
      <c r="B5" s="54" t="str">
        <f aca="false">IFERROR(INDEX(ExPrimary,MATCH($A5,ExName,0)),"")</f>
        <v>Core</v>
      </c>
      <c r="C5" s="53" t="str">
        <f aca="false">IF(N(INDEX(Ex1RM,MATCH($A5,ExName,0)))=0,"",INDEX(Ex1RM,MATCH($A5,ExName,0)))</f>
        <v/>
      </c>
      <c r="D5" s="53" t="str">
        <f aca="false">IF($F5=0,"",_xlfn.MAXIFS('Training Log'!$I$5:$I$301,'Training Log'!$C$5:$C$301,$A5))</f>
        <v/>
      </c>
      <c r="E5" s="53" t="str">
        <f aca="false">IF($F5=0,"",_xlfn.MAXIFS('Training Log'!$E$5:$E$301,'Training Log'!$C$5:$C$301,$A5))</f>
        <v/>
      </c>
      <c r="F5" s="48" t="n">
        <f aca="false">COUNTIFS('Training Log'!$C$5:$C$301,$A5)</f>
        <v>0</v>
      </c>
      <c r="G5" s="53" t="str">
        <f aca="false">IF($F5=0,"",SUMIFS('Training Log'!$H$5:$H$301,'Training Log'!$C$5:$C$301,$A5))</f>
        <v/>
      </c>
      <c r="H5" s="55" t="str">
        <f aca="false">IF($F5=0,"",_xlfn.MAXIFS('Training Log'!$A$5:$A$301,'Training Log'!$C$5:$C$301,$A5))</f>
        <v/>
      </c>
    </row>
    <row r="6" customFormat="false" ht="15" hidden="false" customHeight="false" outlineLevel="0" collapsed="false">
      <c r="A6" s="54" t="s">
        <v>294</v>
      </c>
      <c r="B6" s="54" t="str">
        <f aca="false">IFERROR(INDEX(ExPrimary,MATCH($A6,ExName,0)),"")</f>
        <v>Shoulders</v>
      </c>
      <c r="C6" s="53" t="str">
        <f aca="false">IF(N(INDEX(Ex1RM,MATCH($A6,ExName,0)))=0,"",INDEX(Ex1RM,MATCH($A6,ExName,0)))</f>
        <v/>
      </c>
      <c r="D6" s="53" t="str">
        <f aca="false">IF($F6=0,"",_xlfn.MAXIFS('Training Log'!$I$5:$I$301,'Training Log'!$C$5:$C$301,$A6))</f>
        <v/>
      </c>
      <c r="E6" s="53" t="str">
        <f aca="false">IF($F6=0,"",_xlfn.MAXIFS('Training Log'!$E$5:$E$301,'Training Log'!$C$5:$C$301,$A6))</f>
        <v/>
      </c>
      <c r="F6" s="48" t="n">
        <f aca="false">COUNTIFS('Training Log'!$C$5:$C$301,$A6)</f>
        <v>0</v>
      </c>
      <c r="G6" s="53" t="str">
        <f aca="false">IF($F6=0,"",SUMIFS('Training Log'!$H$5:$H$301,'Training Log'!$C$5:$C$301,$A6))</f>
        <v/>
      </c>
      <c r="H6" s="55" t="str">
        <f aca="false">IF($F6=0,"",_xlfn.MAXIFS('Training Log'!$A$5:$A$301,'Training Log'!$C$5:$C$301,$A6))</f>
        <v/>
      </c>
    </row>
    <row r="7" customFormat="false" ht="15" hidden="false" customHeight="false" outlineLevel="0" collapsed="false">
      <c r="A7" s="54" t="s">
        <v>171</v>
      </c>
      <c r="B7" s="54" t="str">
        <f aca="false">IFERROR(INDEX(ExPrimary,MATCH($A7,ExName,0)),"")</f>
        <v>Glutes</v>
      </c>
      <c r="C7" s="53" t="str">
        <f aca="false">IF(N(INDEX(Ex1RM,MATCH($A7,ExName,0)))=0,"",INDEX(Ex1RM,MATCH($A7,ExName,0)))</f>
        <v/>
      </c>
      <c r="D7" s="53" t="str">
        <f aca="false">IF($F7=0,"",_xlfn.MAXIFS('Training Log'!$I$5:$I$301,'Training Log'!$C$5:$C$301,$A7))</f>
        <v/>
      </c>
      <c r="E7" s="53" t="str">
        <f aca="false">IF($F7=0,"",_xlfn.MAXIFS('Training Log'!$E$5:$E$301,'Training Log'!$C$5:$C$301,$A7))</f>
        <v/>
      </c>
      <c r="F7" s="48" t="n">
        <f aca="false">COUNTIFS('Training Log'!$C$5:$C$301,$A7)</f>
        <v>0</v>
      </c>
      <c r="G7" s="53" t="str">
        <f aca="false">IF($F7=0,"",SUMIFS('Training Log'!$H$5:$H$301,'Training Log'!$C$5:$C$301,$A7))</f>
        <v/>
      </c>
      <c r="H7" s="55" t="str">
        <f aca="false">IF($F7=0,"",_xlfn.MAXIFS('Training Log'!$A$5:$A$301,'Training Log'!$C$5:$C$301,$A7))</f>
        <v/>
      </c>
    </row>
    <row r="8" customFormat="false" ht="15" hidden="false" customHeight="false" outlineLevel="0" collapsed="false">
      <c r="A8" s="54" t="s">
        <v>61</v>
      </c>
      <c r="B8" s="54" t="str">
        <f aca="false">IFERROR(INDEX(ExPrimary,MATCH($A8,ExName,0)),"")</f>
        <v>Quads</v>
      </c>
      <c r="C8" s="53" t="n">
        <f aca="false">IF(N(INDEX(Ex1RM,MATCH($A8,ExName,0)))=0,"",INDEX(Ex1RM,MATCH($A8,ExName,0)))</f>
        <v>100</v>
      </c>
      <c r="D8" s="53" t="n">
        <f aca="false">IF($F8=0,"",_xlfn.MAXIFS('Training Log'!$I$5:$I$301,'Training Log'!$C$5:$C$301,$A8))</f>
        <v>99.1666666666667</v>
      </c>
      <c r="E8" s="53" t="n">
        <f aca="false">IF($F8=0,"",_xlfn.MAXIFS('Training Log'!$E$5:$E$301,'Training Log'!$C$5:$C$301,$A8))</f>
        <v>85</v>
      </c>
      <c r="F8" s="48" t="n">
        <f aca="false">COUNTIFS('Training Log'!$C$5:$C$301,$A8)</f>
        <v>1</v>
      </c>
      <c r="G8" s="53" t="n">
        <f aca="false">IF($F8=0,"",SUMIFS('Training Log'!$H$5:$H$301,'Training Log'!$C$5:$C$301,$A8))</f>
        <v>425</v>
      </c>
      <c r="H8" s="55" t="n">
        <f aca="false">IF($F8=0,"",_xlfn.MAXIFS('Training Log'!$A$5:$A$301,'Training Log'!$C$5:$C$301,$A8))</f>
        <v>46238</v>
      </c>
    </row>
    <row r="9" customFormat="false" ht="15" hidden="false" customHeight="false" outlineLevel="0" collapsed="false">
      <c r="A9" s="54" t="s">
        <v>272</v>
      </c>
      <c r="B9" s="54" t="str">
        <f aca="false">IFERROR(INDEX(ExPrimary,MATCH($A9,ExName,0)),"")</f>
        <v>Chest</v>
      </c>
      <c r="C9" s="53" t="str">
        <f aca="false">IF(N(INDEX(Ex1RM,MATCH($A9,ExName,0)))=0,"",INDEX(Ex1RM,MATCH($A9,ExName,0)))</f>
        <v/>
      </c>
      <c r="D9" s="53" t="str">
        <f aca="false">IF($F9=0,"",_xlfn.MAXIFS('Training Log'!$I$5:$I$301,'Training Log'!$C$5:$C$301,$A9))</f>
        <v/>
      </c>
      <c r="E9" s="53" t="str">
        <f aca="false">IF($F9=0,"",_xlfn.MAXIFS('Training Log'!$E$5:$E$301,'Training Log'!$C$5:$C$301,$A9))</f>
        <v/>
      </c>
      <c r="F9" s="48" t="n">
        <f aca="false">COUNTIFS('Training Log'!$C$5:$C$301,$A9)</f>
        <v>0</v>
      </c>
      <c r="G9" s="53" t="str">
        <f aca="false">IF($F9=0,"",SUMIFS('Training Log'!$H$5:$H$301,'Training Log'!$C$5:$C$301,$A9))</f>
        <v/>
      </c>
      <c r="H9" s="55" t="str">
        <f aca="false">IF($F9=0,"",_xlfn.MAXIFS('Training Log'!$A$5:$A$301,'Training Log'!$C$5:$C$301,$A9))</f>
        <v/>
      </c>
    </row>
    <row r="10" customFormat="false" ht="15" hidden="false" customHeight="false" outlineLevel="0" collapsed="false">
      <c r="A10" s="54" t="s">
        <v>614</v>
      </c>
      <c r="B10" s="54" t="str">
        <f aca="false">IFERROR(INDEX(ExPrimary,MATCH($A10,ExName,0)),"")</f>
        <v>Shoulders</v>
      </c>
      <c r="C10" s="53" t="str">
        <f aca="false">IF(N(INDEX(Ex1RM,MATCH($A10,ExName,0)))=0,"",INDEX(Ex1RM,MATCH($A10,ExName,0)))</f>
        <v/>
      </c>
      <c r="D10" s="53" t="str">
        <f aca="false">IF($F10=0,"",_xlfn.MAXIFS('Training Log'!$I$5:$I$301,'Training Log'!$C$5:$C$301,$A10))</f>
        <v/>
      </c>
      <c r="E10" s="53" t="str">
        <f aca="false">IF($F10=0,"",_xlfn.MAXIFS('Training Log'!$E$5:$E$301,'Training Log'!$C$5:$C$301,$A10))</f>
        <v/>
      </c>
      <c r="F10" s="48" t="n">
        <f aca="false">COUNTIFS('Training Log'!$C$5:$C$301,$A10)</f>
        <v>0</v>
      </c>
      <c r="G10" s="53" t="str">
        <f aca="false">IF($F10=0,"",SUMIFS('Training Log'!$H$5:$H$301,'Training Log'!$C$5:$C$301,$A10))</f>
        <v/>
      </c>
      <c r="H10" s="55" t="str">
        <f aca="false">IF($F10=0,"",_xlfn.MAXIFS('Training Log'!$A$5:$A$301,'Training Log'!$C$5:$C$301,$A10))</f>
        <v/>
      </c>
    </row>
    <row r="11" customFormat="false" ht="15" hidden="false" customHeight="false" outlineLevel="0" collapsed="false">
      <c r="A11" s="54" t="s">
        <v>355</v>
      </c>
      <c r="B11" s="54" t="str">
        <f aca="false">IFERROR(INDEX(ExPrimary,MATCH($A11,ExName,0)),"")</f>
        <v>Shoulders</v>
      </c>
      <c r="C11" s="53" t="str">
        <f aca="false">IF(N(INDEX(Ex1RM,MATCH($A11,ExName,0)))=0,"",INDEX(Ex1RM,MATCH($A11,ExName,0)))</f>
        <v/>
      </c>
      <c r="D11" s="53" t="str">
        <f aca="false">IF($F11=0,"",_xlfn.MAXIFS('Training Log'!$I$5:$I$301,'Training Log'!$C$5:$C$301,$A11))</f>
        <v/>
      </c>
      <c r="E11" s="53" t="str">
        <f aca="false">IF($F11=0,"",_xlfn.MAXIFS('Training Log'!$E$5:$E$301,'Training Log'!$C$5:$C$301,$A11))</f>
        <v/>
      </c>
      <c r="F11" s="48" t="n">
        <f aca="false">COUNTIFS('Training Log'!$C$5:$C$301,$A11)</f>
        <v>0</v>
      </c>
      <c r="G11" s="53" t="str">
        <f aca="false">IF($F11=0,"",SUMIFS('Training Log'!$H$5:$H$301,'Training Log'!$C$5:$C$301,$A11))</f>
        <v/>
      </c>
      <c r="H11" s="55" t="str">
        <f aca="false">IF($F11=0,"",_xlfn.MAXIFS('Training Log'!$A$5:$A$301,'Training Log'!$C$5:$C$301,$A11))</f>
        <v/>
      </c>
    </row>
    <row r="12" customFormat="false" ht="15" hidden="false" customHeight="false" outlineLevel="0" collapsed="false">
      <c r="A12" s="54" t="s">
        <v>385</v>
      </c>
      <c r="B12" s="54" t="str">
        <f aca="false">IFERROR(INDEX(ExPrimary,MATCH($A12,ExName,0)),"")</f>
        <v>Back</v>
      </c>
      <c r="C12" s="53" t="str">
        <f aca="false">IF(N(INDEX(Ex1RM,MATCH($A12,ExName,0)))=0,"",INDEX(Ex1RM,MATCH($A12,ExName,0)))</f>
        <v/>
      </c>
      <c r="D12" s="53" t="str">
        <f aca="false">IF($F12=0,"",_xlfn.MAXIFS('Training Log'!$I$5:$I$301,'Training Log'!$C$5:$C$301,$A12))</f>
        <v/>
      </c>
      <c r="E12" s="53" t="str">
        <f aca="false">IF($F12=0,"",_xlfn.MAXIFS('Training Log'!$E$5:$E$301,'Training Log'!$C$5:$C$301,$A12))</f>
        <v/>
      </c>
      <c r="F12" s="48" t="n">
        <f aca="false">COUNTIFS('Training Log'!$C$5:$C$301,$A12)</f>
        <v>0</v>
      </c>
      <c r="G12" s="53" t="str">
        <f aca="false">IF($F12=0,"",SUMIFS('Training Log'!$H$5:$H$301,'Training Log'!$C$5:$C$301,$A12))</f>
        <v/>
      </c>
      <c r="H12" s="55" t="str">
        <f aca="false">IF($F12=0,"",_xlfn.MAXIFS('Training Log'!$A$5:$A$301,'Training Log'!$C$5:$C$301,$A12))</f>
        <v/>
      </c>
    </row>
    <row r="13" customFormat="false" ht="15" hidden="false" customHeight="false" outlineLevel="0" collapsed="false">
      <c r="A13" s="54" t="s">
        <v>641</v>
      </c>
      <c r="B13" s="54" t="str">
        <f aca="false">IFERROR(INDEX(ExPrimary,MATCH($A13,ExName,0)),"")</f>
        <v>Glutes</v>
      </c>
      <c r="C13" s="53" t="str">
        <f aca="false">IF(N(INDEX(Ex1RM,MATCH($A13,ExName,0)))=0,"",INDEX(Ex1RM,MATCH($A13,ExName,0)))</f>
        <v/>
      </c>
      <c r="D13" s="53" t="str">
        <f aca="false">IF($F13=0,"",_xlfn.MAXIFS('Training Log'!$I$5:$I$301,'Training Log'!$C$5:$C$301,$A13))</f>
        <v/>
      </c>
      <c r="E13" s="53" t="str">
        <f aca="false">IF($F13=0,"",_xlfn.MAXIFS('Training Log'!$E$5:$E$301,'Training Log'!$C$5:$C$301,$A13))</f>
        <v/>
      </c>
      <c r="F13" s="48" t="n">
        <f aca="false">COUNTIFS('Training Log'!$C$5:$C$301,$A13)</f>
        <v>0</v>
      </c>
      <c r="G13" s="53" t="str">
        <f aca="false">IF($F13=0,"",SUMIFS('Training Log'!$H$5:$H$301,'Training Log'!$C$5:$C$301,$A13))</f>
        <v/>
      </c>
      <c r="H13" s="55" t="str">
        <f aca="false">IF($F13=0,"",_xlfn.MAXIFS('Training Log'!$A$5:$A$301,'Training Log'!$C$5:$C$301,$A13))</f>
        <v/>
      </c>
    </row>
    <row r="14" customFormat="false" ht="15" hidden="false" customHeight="false" outlineLevel="0" collapsed="false">
      <c r="A14" s="54" t="s">
        <v>212</v>
      </c>
      <c r="B14" s="54" t="str">
        <f aca="false">IFERROR(INDEX(ExPrimary,MATCH($A14,ExName,0)),"")</f>
        <v>Chest</v>
      </c>
      <c r="C14" s="53" t="str">
        <f aca="false">IF(N(INDEX(Ex1RM,MATCH($A14,ExName,0)))=0,"",INDEX(Ex1RM,MATCH($A14,ExName,0)))</f>
        <v/>
      </c>
      <c r="D14" s="53" t="str">
        <f aca="false">IF($F14=0,"",_xlfn.MAXIFS('Training Log'!$I$5:$I$301,'Training Log'!$C$5:$C$301,$A14))</f>
        <v/>
      </c>
      <c r="E14" s="53" t="str">
        <f aca="false">IF($F14=0,"",_xlfn.MAXIFS('Training Log'!$E$5:$E$301,'Training Log'!$C$5:$C$301,$A14))</f>
        <v/>
      </c>
      <c r="F14" s="48" t="n">
        <f aca="false">COUNTIFS('Training Log'!$C$5:$C$301,$A14)</f>
        <v>0</v>
      </c>
      <c r="G14" s="53" t="str">
        <f aca="false">IF($F14=0,"",SUMIFS('Training Log'!$H$5:$H$301,'Training Log'!$C$5:$C$301,$A14))</f>
        <v/>
      </c>
      <c r="H14" s="55" t="str">
        <f aca="false">IF($F14=0,"",_xlfn.MAXIFS('Training Log'!$A$5:$A$301,'Training Log'!$C$5:$C$301,$A14))</f>
        <v/>
      </c>
    </row>
    <row r="15" customFormat="false" ht="15" hidden="false" customHeight="false" outlineLevel="0" collapsed="false">
      <c r="A15" s="54" t="s">
        <v>552</v>
      </c>
      <c r="B15" s="54" t="str">
        <f aca="false">IFERROR(INDEX(ExPrimary,MATCH($A15,ExName,0)),"")</f>
        <v>Biceps</v>
      </c>
      <c r="C15" s="53" t="str">
        <f aca="false">IF(N(INDEX(Ex1RM,MATCH($A15,ExName,0)))=0,"",INDEX(Ex1RM,MATCH($A15,ExName,0)))</f>
        <v/>
      </c>
      <c r="D15" s="53" t="str">
        <f aca="false">IF($F15=0,"",_xlfn.MAXIFS('Training Log'!$I$5:$I$301,'Training Log'!$C$5:$C$301,$A15))</f>
        <v/>
      </c>
      <c r="E15" s="53" t="str">
        <f aca="false">IF($F15=0,"",_xlfn.MAXIFS('Training Log'!$E$5:$E$301,'Training Log'!$C$5:$C$301,$A15))</f>
        <v/>
      </c>
      <c r="F15" s="48" t="n">
        <f aca="false">COUNTIFS('Training Log'!$C$5:$C$301,$A15)</f>
        <v>0</v>
      </c>
      <c r="G15" s="53" t="str">
        <f aca="false">IF($F15=0,"",SUMIFS('Training Log'!$H$5:$H$301,'Training Log'!$C$5:$C$301,$A15))</f>
        <v/>
      </c>
      <c r="H15" s="55" t="str">
        <f aca="false">IF($F15=0,"",_xlfn.MAXIFS('Training Log'!$A$5:$A$301,'Training Log'!$C$5:$C$301,$A15))</f>
        <v/>
      </c>
    </row>
    <row r="16" customFormat="false" ht="15" hidden="false" customHeight="false" outlineLevel="0" collapsed="false">
      <c r="A16" s="54" t="s">
        <v>152</v>
      </c>
      <c r="B16" s="54" t="str">
        <f aca="false">IFERROR(INDEX(ExPrimary,MATCH($A16,ExName,0)),"")</f>
        <v>Glutes</v>
      </c>
      <c r="C16" s="53" t="str">
        <f aca="false">IF(N(INDEX(Ex1RM,MATCH($A16,ExName,0)))=0,"",INDEX(Ex1RM,MATCH($A16,ExName,0)))</f>
        <v/>
      </c>
      <c r="D16" s="53" t="str">
        <f aca="false">IF($F16=0,"",_xlfn.MAXIFS('Training Log'!$I$5:$I$301,'Training Log'!$C$5:$C$301,$A16))</f>
        <v/>
      </c>
      <c r="E16" s="53" t="str">
        <f aca="false">IF($F16=0,"",_xlfn.MAXIFS('Training Log'!$E$5:$E$301,'Training Log'!$C$5:$C$301,$A16))</f>
        <v/>
      </c>
      <c r="F16" s="48" t="n">
        <f aca="false">COUNTIFS('Training Log'!$C$5:$C$301,$A16)</f>
        <v>0</v>
      </c>
      <c r="G16" s="53" t="str">
        <f aca="false">IF($F16=0,"",SUMIFS('Training Log'!$H$5:$H$301,'Training Log'!$C$5:$C$301,$A16))</f>
        <v/>
      </c>
      <c r="H16" s="55" t="str">
        <f aca="false">IF($F16=0,"",_xlfn.MAXIFS('Training Log'!$A$5:$A$301,'Training Log'!$C$5:$C$301,$A16))</f>
        <v/>
      </c>
    </row>
    <row r="17" customFormat="false" ht="15" hidden="false" customHeight="false" outlineLevel="0" collapsed="false">
      <c r="A17" s="54" t="s">
        <v>314</v>
      </c>
      <c r="B17" s="54" t="str">
        <f aca="false">IFERROR(INDEX(ExPrimary,MATCH($A17,ExName,0)),"")</f>
        <v>Back</v>
      </c>
      <c r="C17" s="53" t="str">
        <f aca="false">IF(N(INDEX(Ex1RM,MATCH($A17,ExName,0)))=0,"",INDEX(Ex1RM,MATCH($A17,ExName,0)))</f>
        <v/>
      </c>
      <c r="D17" s="53" t="str">
        <f aca="false">IF($F17=0,"",_xlfn.MAXIFS('Training Log'!$I$5:$I$301,'Training Log'!$C$5:$C$301,$A17))</f>
        <v/>
      </c>
      <c r="E17" s="53" t="str">
        <f aca="false">IF($F17=0,"",_xlfn.MAXIFS('Training Log'!$E$5:$E$301,'Training Log'!$C$5:$C$301,$A17))</f>
        <v/>
      </c>
      <c r="F17" s="48" t="n">
        <f aca="false">COUNTIFS('Training Log'!$C$5:$C$301,$A17)</f>
        <v>0</v>
      </c>
      <c r="G17" s="53" t="str">
        <f aca="false">IF($F17=0,"",SUMIFS('Training Log'!$H$5:$H$301,'Training Log'!$C$5:$C$301,$A17))</f>
        <v/>
      </c>
      <c r="H17" s="55" t="str">
        <f aca="false">IF($F17=0,"",_xlfn.MAXIFS('Training Log'!$A$5:$A$301,'Training Log'!$C$5:$C$301,$A17))</f>
        <v/>
      </c>
    </row>
    <row r="18" customFormat="false" ht="15" hidden="false" customHeight="false" outlineLevel="0" collapsed="false">
      <c r="A18" s="54" t="s">
        <v>605</v>
      </c>
      <c r="B18" s="54" t="str">
        <f aca="false">IFERROR(INDEX(ExPrimary,MATCH($A18,ExName,0)),"")</f>
        <v>Traps</v>
      </c>
      <c r="C18" s="53" t="str">
        <f aca="false">IF(N(INDEX(Ex1RM,MATCH($A18,ExName,0)))=0,"",INDEX(Ex1RM,MATCH($A18,ExName,0)))</f>
        <v/>
      </c>
      <c r="D18" s="53" t="str">
        <f aca="false">IF($F18=0,"",_xlfn.MAXIFS('Training Log'!$I$5:$I$301,'Training Log'!$C$5:$C$301,$A18))</f>
        <v/>
      </c>
      <c r="E18" s="53" t="str">
        <f aca="false">IF($F18=0,"",_xlfn.MAXIFS('Training Log'!$E$5:$E$301,'Training Log'!$C$5:$C$301,$A18))</f>
        <v/>
      </c>
      <c r="F18" s="48" t="n">
        <f aca="false">COUNTIFS('Training Log'!$C$5:$C$301,$A18)</f>
        <v>0</v>
      </c>
      <c r="G18" s="53" t="str">
        <f aca="false">IF($F18=0,"",SUMIFS('Training Log'!$H$5:$H$301,'Training Log'!$C$5:$C$301,$A18))</f>
        <v/>
      </c>
      <c r="H18" s="55" t="str">
        <f aca="false">IF($F18=0,"",_xlfn.MAXIFS('Training Log'!$A$5:$A$301,'Training Log'!$C$5:$C$301,$A18))</f>
        <v/>
      </c>
    </row>
    <row r="19" customFormat="false" ht="15" hidden="false" customHeight="false" outlineLevel="0" collapsed="false">
      <c r="A19" s="54" t="s">
        <v>194</v>
      </c>
      <c r="B19" s="54" t="str">
        <f aca="false">IFERROR(INDEX(ExPrimary,MATCH($A19,ExName,0)),"")</f>
        <v>Quads</v>
      </c>
      <c r="C19" s="53" t="str">
        <f aca="false">IF(N(INDEX(Ex1RM,MATCH($A19,ExName,0)))=0,"",INDEX(Ex1RM,MATCH($A19,ExName,0)))</f>
        <v/>
      </c>
      <c r="D19" s="53" t="str">
        <f aca="false">IF($F19=0,"",_xlfn.MAXIFS('Training Log'!$I$5:$I$301,'Training Log'!$C$5:$C$301,$A19))</f>
        <v/>
      </c>
      <c r="E19" s="53" t="str">
        <f aca="false">IF($F19=0,"",_xlfn.MAXIFS('Training Log'!$E$5:$E$301,'Training Log'!$C$5:$C$301,$A19))</f>
        <v/>
      </c>
      <c r="F19" s="48" t="n">
        <f aca="false">COUNTIFS('Training Log'!$C$5:$C$301,$A19)</f>
        <v>0</v>
      </c>
      <c r="G19" s="53" t="str">
        <f aca="false">IF($F19=0,"",SUMIFS('Training Log'!$H$5:$H$301,'Training Log'!$C$5:$C$301,$A19))</f>
        <v/>
      </c>
      <c r="H19" s="55" t="str">
        <f aca="false">IF($F19=0,"",_xlfn.MAXIFS('Training Log'!$A$5:$A$301,'Training Log'!$C$5:$C$301,$A19))</f>
        <v/>
      </c>
    </row>
    <row r="20" customFormat="false" ht="15" hidden="false" customHeight="false" outlineLevel="0" collapsed="false">
      <c r="A20" s="54" t="s">
        <v>521</v>
      </c>
      <c r="B20" s="54" t="str">
        <f aca="false">IFERROR(INDEX(ExPrimary,MATCH($A20,ExName,0)),"")</f>
        <v>Core</v>
      </c>
      <c r="C20" s="53" t="str">
        <f aca="false">IF(N(INDEX(Ex1RM,MATCH($A20,ExName,0)))=0,"",INDEX(Ex1RM,MATCH($A20,ExName,0)))</f>
        <v/>
      </c>
      <c r="D20" s="53" t="str">
        <f aca="false">IF($F20=0,"",_xlfn.MAXIFS('Training Log'!$I$5:$I$301,'Training Log'!$C$5:$C$301,$A20))</f>
        <v/>
      </c>
      <c r="E20" s="53" t="str">
        <f aca="false">IF($F20=0,"",_xlfn.MAXIFS('Training Log'!$E$5:$E$301,'Training Log'!$C$5:$C$301,$A20))</f>
        <v/>
      </c>
      <c r="F20" s="48" t="n">
        <f aca="false">COUNTIFS('Training Log'!$C$5:$C$301,$A20)</f>
        <v>0</v>
      </c>
      <c r="G20" s="53" t="str">
        <f aca="false">IF($F20=0,"",SUMIFS('Training Log'!$H$5:$H$301,'Training Log'!$C$5:$C$301,$A20))</f>
        <v/>
      </c>
      <c r="H20" s="55" t="str">
        <f aca="false">IF($F20=0,"",_xlfn.MAXIFS('Training Log'!$A$5:$A$301,'Training Log'!$C$5:$C$301,$A20))</f>
        <v/>
      </c>
    </row>
    <row r="21" customFormat="false" ht="15" hidden="false" customHeight="false" outlineLevel="0" collapsed="false">
      <c r="A21" s="54" t="s">
        <v>106</v>
      </c>
      <c r="B21" s="54" t="str">
        <f aca="false">IFERROR(INDEX(ExPrimary,MATCH($A21,ExName,0)),"")</f>
        <v>Quads</v>
      </c>
      <c r="C21" s="53" t="str">
        <f aca="false">IF(N(INDEX(Ex1RM,MATCH($A21,ExName,0)))=0,"",INDEX(Ex1RM,MATCH($A21,ExName,0)))</f>
        <v/>
      </c>
      <c r="D21" s="53" t="str">
        <f aca="false">IF($F21=0,"",_xlfn.MAXIFS('Training Log'!$I$5:$I$301,'Training Log'!$C$5:$C$301,$A21))</f>
        <v/>
      </c>
      <c r="E21" s="53" t="str">
        <f aca="false">IF($F21=0,"",_xlfn.MAXIFS('Training Log'!$E$5:$E$301,'Training Log'!$C$5:$C$301,$A21))</f>
        <v/>
      </c>
      <c r="F21" s="48" t="n">
        <f aca="false">COUNTIFS('Training Log'!$C$5:$C$301,$A21)</f>
        <v>0</v>
      </c>
      <c r="G21" s="53" t="str">
        <f aca="false">IF($F21=0,"",SUMIFS('Training Log'!$H$5:$H$301,'Training Log'!$C$5:$C$301,$A21))</f>
        <v/>
      </c>
      <c r="H21" s="55" t="str">
        <f aca="false">IF($F21=0,"",_xlfn.MAXIFS('Training Log'!$A$5:$A$301,'Training Log'!$C$5:$C$301,$A21))</f>
        <v/>
      </c>
    </row>
    <row r="22" customFormat="false" ht="15" hidden="false" customHeight="false" outlineLevel="0" collapsed="false">
      <c r="A22" s="54" t="s">
        <v>484</v>
      </c>
      <c r="B22" s="54" t="str">
        <f aca="false">IFERROR(INDEX(ExPrimary,MATCH($A22,ExName,0)),"")</f>
        <v>Core</v>
      </c>
      <c r="C22" s="53" t="str">
        <f aca="false">IF(N(INDEX(Ex1RM,MATCH($A22,ExName,0)))=0,"",INDEX(Ex1RM,MATCH($A22,ExName,0)))</f>
        <v/>
      </c>
      <c r="D22" s="53" t="str">
        <f aca="false">IF($F22=0,"",_xlfn.MAXIFS('Training Log'!$I$5:$I$301,'Training Log'!$C$5:$C$301,$A22))</f>
        <v/>
      </c>
      <c r="E22" s="53" t="str">
        <f aca="false">IF($F22=0,"",_xlfn.MAXIFS('Training Log'!$E$5:$E$301,'Training Log'!$C$5:$C$301,$A22))</f>
        <v/>
      </c>
      <c r="F22" s="48" t="n">
        <f aca="false">COUNTIFS('Training Log'!$C$5:$C$301,$A22)</f>
        <v>0</v>
      </c>
      <c r="G22" s="53" t="str">
        <f aca="false">IF($F22=0,"",SUMIFS('Training Log'!$H$5:$H$301,'Training Log'!$C$5:$C$301,$A22))</f>
        <v/>
      </c>
      <c r="H22" s="55" t="str">
        <f aca="false">IF($F22=0,"",_xlfn.MAXIFS('Training Log'!$A$5:$A$301,'Training Log'!$C$5:$C$301,$A22))</f>
        <v/>
      </c>
    </row>
    <row r="23" customFormat="false" ht="15" hidden="false" customHeight="false" outlineLevel="0" collapsed="false">
      <c r="A23" s="54" t="s">
        <v>109</v>
      </c>
      <c r="B23" s="54" t="str">
        <f aca="false">IFERROR(INDEX(ExPrimary,MATCH($A23,ExName,0)),"")</f>
        <v>Quads</v>
      </c>
      <c r="C23" s="53" t="str">
        <f aca="false">IF(N(INDEX(Ex1RM,MATCH($A23,ExName,0)))=0,"",INDEX(Ex1RM,MATCH($A23,ExName,0)))</f>
        <v/>
      </c>
      <c r="D23" s="53" t="str">
        <f aca="false">IF($F23=0,"",_xlfn.MAXIFS('Training Log'!$I$5:$I$301,'Training Log'!$C$5:$C$301,$A23))</f>
        <v/>
      </c>
      <c r="E23" s="53" t="str">
        <f aca="false">IF($F23=0,"",_xlfn.MAXIFS('Training Log'!$E$5:$E$301,'Training Log'!$C$5:$C$301,$A23))</f>
        <v/>
      </c>
      <c r="F23" s="48" t="n">
        <f aca="false">COUNTIFS('Training Log'!$C$5:$C$301,$A23)</f>
        <v>0</v>
      </c>
      <c r="G23" s="53" t="str">
        <f aca="false">IF($F23=0,"",SUMIFS('Training Log'!$H$5:$H$301,'Training Log'!$C$5:$C$301,$A23))</f>
        <v/>
      </c>
      <c r="H23" s="55" t="str">
        <f aca="false">IF($F23=0,"",_xlfn.MAXIFS('Training Log'!$A$5:$A$301,'Training Log'!$C$5:$C$301,$A23))</f>
        <v/>
      </c>
    </row>
    <row r="24" customFormat="false" ht="15" hidden="false" customHeight="false" outlineLevel="0" collapsed="false">
      <c r="A24" s="54" t="s">
        <v>450</v>
      </c>
      <c r="B24" s="54" t="str">
        <f aca="false">IFERROR(INDEX(ExPrimary,MATCH($A24,ExName,0)),"")</f>
        <v>Glutes</v>
      </c>
      <c r="C24" s="53" t="str">
        <f aca="false">IF(N(INDEX(Ex1RM,MATCH($A24,ExName,0)))=0,"",INDEX(Ex1RM,MATCH($A24,ExName,0)))</f>
        <v/>
      </c>
      <c r="D24" s="53" t="str">
        <f aca="false">IF($F24=0,"",_xlfn.MAXIFS('Training Log'!$I$5:$I$301,'Training Log'!$C$5:$C$301,$A24))</f>
        <v/>
      </c>
      <c r="E24" s="53" t="str">
        <f aca="false">IF($F24=0,"",_xlfn.MAXIFS('Training Log'!$E$5:$E$301,'Training Log'!$C$5:$C$301,$A24))</f>
        <v/>
      </c>
      <c r="F24" s="48" t="n">
        <f aca="false">COUNTIFS('Training Log'!$C$5:$C$301,$A24)</f>
        <v>0</v>
      </c>
      <c r="G24" s="53" t="str">
        <f aca="false">IF($F24=0,"",SUMIFS('Training Log'!$H$5:$H$301,'Training Log'!$C$5:$C$301,$A24))</f>
        <v/>
      </c>
      <c r="H24" s="55" t="str">
        <f aca="false">IF($F24=0,"",_xlfn.MAXIFS('Training Log'!$A$5:$A$301,'Training Log'!$C$5:$C$301,$A24))</f>
        <v/>
      </c>
    </row>
    <row r="25" customFormat="false" ht="15" hidden="false" customHeight="false" outlineLevel="0" collapsed="false">
      <c r="A25" s="54" t="s">
        <v>433</v>
      </c>
      <c r="B25" s="54" t="str">
        <f aca="false">IFERROR(INDEX(ExPrimary,MATCH($A25,ExName,0)),"")</f>
        <v>Quads</v>
      </c>
      <c r="C25" s="53" t="str">
        <f aca="false">IF(N(INDEX(Ex1RM,MATCH($A25,ExName,0)))=0,"",INDEX(Ex1RM,MATCH($A25,ExName,0)))</f>
        <v/>
      </c>
      <c r="D25" s="53" t="str">
        <f aca="false">IF($F25=0,"",_xlfn.MAXIFS('Training Log'!$I$5:$I$301,'Training Log'!$C$5:$C$301,$A25))</f>
        <v/>
      </c>
      <c r="E25" s="53" t="str">
        <f aca="false">IF($F25=0,"",_xlfn.MAXIFS('Training Log'!$E$5:$E$301,'Training Log'!$C$5:$C$301,$A25))</f>
        <v/>
      </c>
      <c r="F25" s="48" t="n">
        <f aca="false">COUNTIFS('Training Log'!$C$5:$C$301,$A25)</f>
        <v>0</v>
      </c>
      <c r="G25" s="53" t="str">
        <f aca="false">IF($F25=0,"",SUMIFS('Training Log'!$H$5:$H$301,'Training Log'!$C$5:$C$301,$A25))</f>
        <v/>
      </c>
      <c r="H25" s="55" t="str">
        <f aca="false">IF($F25=0,"",_xlfn.MAXIFS('Training Log'!$A$5:$A$301,'Training Log'!$C$5:$C$301,$A25))</f>
        <v/>
      </c>
    </row>
    <row r="26" customFormat="false" ht="15" hidden="false" customHeight="false" outlineLevel="0" collapsed="false">
      <c r="A26" s="54" t="s">
        <v>77</v>
      </c>
      <c r="B26" s="54" t="str">
        <f aca="false">IFERROR(INDEX(ExPrimary,MATCH($A26,ExName,0)),"")</f>
        <v>Quads</v>
      </c>
      <c r="C26" s="53" t="str">
        <f aca="false">IF(N(INDEX(Ex1RM,MATCH($A26,ExName,0)))=0,"",INDEX(Ex1RM,MATCH($A26,ExName,0)))</f>
        <v/>
      </c>
      <c r="D26" s="53" t="str">
        <f aca="false">IF($F26=0,"",_xlfn.MAXIFS('Training Log'!$I$5:$I$301,'Training Log'!$C$5:$C$301,$A26))</f>
        <v/>
      </c>
      <c r="E26" s="53" t="str">
        <f aca="false">IF($F26=0,"",_xlfn.MAXIFS('Training Log'!$E$5:$E$301,'Training Log'!$C$5:$C$301,$A26))</f>
        <v/>
      </c>
      <c r="F26" s="48" t="n">
        <f aca="false">COUNTIFS('Training Log'!$C$5:$C$301,$A26)</f>
        <v>0</v>
      </c>
      <c r="G26" s="53" t="str">
        <f aca="false">IF($F26=0,"",SUMIFS('Training Log'!$H$5:$H$301,'Training Log'!$C$5:$C$301,$A26))</f>
        <v/>
      </c>
      <c r="H26" s="55" t="str">
        <f aca="false">IF($F26=0,"",_xlfn.MAXIFS('Training Log'!$A$5:$A$301,'Training Log'!$C$5:$C$301,$A26))</f>
        <v/>
      </c>
    </row>
    <row r="27" customFormat="false" ht="15" hidden="false" customHeight="false" outlineLevel="0" collapsed="false">
      <c r="A27" s="54" t="s">
        <v>438</v>
      </c>
      <c r="B27" s="54" t="str">
        <f aca="false">IFERROR(INDEX(ExPrimary,MATCH($A27,ExName,0)),"")</f>
        <v>Glutes</v>
      </c>
      <c r="C27" s="53" t="str">
        <f aca="false">IF(N(INDEX(Ex1RM,MATCH($A27,ExName,0)))=0,"",INDEX(Ex1RM,MATCH($A27,ExName,0)))</f>
        <v/>
      </c>
      <c r="D27" s="53" t="str">
        <f aca="false">IF($F27=0,"",_xlfn.MAXIFS('Training Log'!$I$5:$I$301,'Training Log'!$C$5:$C$301,$A27))</f>
        <v/>
      </c>
      <c r="E27" s="53" t="str">
        <f aca="false">IF($F27=0,"",_xlfn.MAXIFS('Training Log'!$E$5:$E$301,'Training Log'!$C$5:$C$301,$A27))</f>
        <v/>
      </c>
      <c r="F27" s="48" t="n">
        <f aca="false">COUNTIFS('Training Log'!$C$5:$C$301,$A27)</f>
        <v>0</v>
      </c>
      <c r="G27" s="53" t="str">
        <f aca="false">IF($F27=0,"",SUMIFS('Training Log'!$H$5:$H$301,'Training Log'!$C$5:$C$301,$A27))</f>
        <v/>
      </c>
      <c r="H27" s="55" t="str">
        <f aca="false">IF($F27=0,"",_xlfn.MAXIFS('Training Log'!$A$5:$A$301,'Training Log'!$C$5:$C$301,$A27))</f>
        <v/>
      </c>
    </row>
    <row r="28" customFormat="false" ht="15" hidden="false" customHeight="false" outlineLevel="0" collapsed="false">
      <c r="A28" s="54" t="s">
        <v>468</v>
      </c>
      <c r="B28" s="54" t="str">
        <f aca="false">IFERROR(INDEX(ExPrimary,MATCH($A28,ExName,0)),"")</f>
        <v>Glutes</v>
      </c>
      <c r="C28" s="53" t="str">
        <f aca="false">IF(N(INDEX(Ex1RM,MATCH($A28,ExName,0)))=0,"",INDEX(Ex1RM,MATCH($A28,ExName,0)))</f>
        <v/>
      </c>
      <c r="D28" s="53" t="str">
        <f aca="false">IF($F28=0,"",_xlfn.MAXIFS('Training Log'!$I$5:$I$301,'Training Log'!$C$5:$C$301,$A28))</f>
        <v/>
      </c>
      <c r="E28" s="53" t="str">
        <f aca="false">IF($F28=0,"",_xlfn.MAXIFS('Training Log'!$E$5:$E$301,'Training Log'!$C$5:$C$301,$A28))</f>
        <v/>
      </c>
      <c r="F28" s="48" t="n">
        <f aca="false">COUNTIFS('Training Log'!$C$5:$C$301,$A28)</f>
        <v>0</v>
      </c>
      <c r="G28" s="53" t="str">
        <f aca="false">IF($F28=0,"",SUMIFS('Training Log'!$H$5:$H$301,'Training Log'!$C$5:$C$301,$A28))</f>
        <v/>
      </c>
      <c r="H28" s="55" t="str">
        <f aca="false">IF($F28=0,"",_xlfn.MAXIFS('Training Log'!$A$5:$A$301,'Training Log'!$C$5:$C$301,$A28))</f>
        <v/>
      </c>
    </row>
    <row r="29" customFormat="false" ht="15" hidden="false" customHeight="false" outlineLevel="0" collapsed="false">
      <c r="A29" s="54" t="s">
        <v>191</v>
      </c>
      <c r="B29" s="54" t="str">
        <f aca="false">IFERROR(INDEX(ExPrimary,MATCH($A29,ExName,0)),"")</f>
        <v>Quads</v>
      </c>
      <c r="C29" s="53" t="str">
        <f aca="false">IF(N(INDEX(Ex1RM,MATCH($A29,ExName,0)))=0,"",INDEX(Ex1RM,MATCH($A29,ExName,0)))</f>
        <v/>
      </c>
      <c r="D29" s="53" t="str">
        <f aca="false">IF($F29=0,"",_xlfn.MAXIFS('Training Log'!$I$5:$I$301,'Training Log'!$C$5:$C$301,$A29))</f>
        <v/>
      </c>
      <c r="E29" s="53" t="str">
        <f aca="false">IF($F29=0,"",_xlfn.MAXIFS('Training Log'!$E$5:$E$301,'Training Log'!$C$5:$C$301,$A29))</f>
        <v/>
      </c>
      <c r="F29" s="48" t="n">
        <f aca="false">COUNTIFS('Training Log'!$C$5:$C$301,$A29)</f>
        <v>0</v>
      </c>
      <c r="G29" s="53" t="str">
        <f aca="false">IF($F29=0,"",SUMIFS('Training Log'!$H$5:$H$301,'Training Log'!$C$5:$C$301,$A29))</f>
        <v/>
      </c>
      <c r="H29" s="55" t="str">
        <f aca="false">IF($F29=0,"",_xlfn.MAXIFS('Training Log'!$A$5:$A$301,'Training Log'!$C$5:$C$301,$A29))</f>
        <v/>
      </c>
    </row>
    <row r="30" customFormat="false" ht="15" hidden="false" customHeight="false" outlineLevel="0" collapsed="false">
      <c r="A30" s="54" t="s">
        <v>262</v>
      </c>
      <c r="B30" s="54" t="str">
        <f aca="false">IFERROR(INDEX(ExPrimary,MATCH($A30,ExName,0)),"")</f>
        <v>Chest</v>
      </c>
      <c r="C30" s="53" t="str">
        <f aca="false">IF(N(INDEX(Ex1RM,MATCH($A30,ExName,0)))=0,"",INDEX(Ex1RM,MATCH($A30,ExName,0)))</f>
        <v/>
      </c>
      <c r="D30" s="53" t="str">
        <f aca="false">IF($F30=0,"",_xlfn.MAXIFS('Training Log'!$I$5:$I$301,'Training Log'!$C$5:$C$301,$A30))</f>
        <v/>
      </c>
      <c r="E30" s="53" t="str">
        <f aca="false">IF($F30=0,"",_xlfn.MAXIFS('Training Log'!$E$5:$E$301,'Training Log'!$C$5:$C$301,$A30))</f>
        <v/>
      </c>
      <c r="F30" s="48" t="n">
        <f aca="false">COUNTIFS('Training Log'!$C$5:$C$301,$A30)</f>
        <v>0</v>
      </c>
      <c r="G30" s="53" t="str">
        <f aca="false">IF($F30=0,"",SUMIFS('Training Log'!$H$5:$H$301,'Training Log'!$C$5:$C$301,$A30))</f>
        <v/>
      </c>
      <c r="H30" s="55" t="str">
        <f aca="false">IF($F30=0,"",_xlfn.MAXIFS('Training Log'!$A$5:$A$301,'Training Log'!$C$5:$C$301,$A30))</f>
        <v/>
      </c>
    </row>
    <row r="31" customFormat="false" ht="15" hidden="false" customHeight="false" outlineLevel="0" collapsed="false">
      <c r="A31" s="54" t="s">
        <v>497</v>
      </c>
      <c r="B31" s="54" t="str">
        <f aca="false">IFERROR(INDEX(ExPrimary,MATCH($A31,ExName,0)),"")</f>
        <v>Core</v>
      </c>
      <c r="C31" s="53" t="str">
        <f aca="false">IF(N(INDEX(Ex1RM,MATCH($A31,ExName,0)))=0,"",INDEX(Ex1RM,MATCH($A31,ExName,0)))</f>
        <v/>
      </c>
      <c r="D31" s="53" t="str">
        <f aca="false">IF($F31=0,"",_xlfn.MAXIFS('Training Log'!$I$5:$I$301,'Training Log'!$C$5:$C$301,$A31))</f>
        <v/>
      </c>
      <c r="E31" s="53" t="str">
        <f aca="false">IF($F31=0,"",_xlfn.MAXIFS('Training Log'!$E$5:$E$301,'Training Log'!$C$5:$C$301,$A31))</f>
        <v/>
      </c>
      <c r="F31" s="48" t="n">
        <f aca="false">COUNTIFS('Training Log'!$C$5:$C$301,$A31)</f>
        <v>0</v>
      </c>
      <c r="G31" s="53" t="str">
        <f aca="false">IF($F31=0,"",SUMIFS('Training Log'!$H$5:$H$301,'Training Log'!$C$5:$C$301,$A31))</f>
        <v/>
      </c>
      <c r="H31" s="55" t="str">
        <f aca="false">IF($F31=0,"",_xlfn.MAXIFS('Training Log'!$A$5:$A$301,'Training Log'!$C$5:$C$301,$A31))</f>
        <v/>
      </c>
    </row>
    <row r="32" customFormat="false" ht="15" hidden="false" customHeight="false" outlineLevel="0" collapsed="false">
      <c r="A32" s="54" t="s">
        <v>565</v>
      </c>
      <c r="B32" s="54" t="str">
        <f aca="false">IFERROR(INDEX(ExPrimary,MATCH($A32,ExName,0)),"")</f>
        <v>Biceps</v>
      </c>
      <c r="C32" s="53" t="str">
        <f aca="false">IF(N(INDEX(Ex1RM,MATCH($A32,ExName,0)))=0,"",INDEX(Ex1RM,MATCH($A32,ExName,0)))</f>
        <v/>
      </c>
      <c r="D32" s="53" t="str">
        <f aca="false">IF($F32=0,"",_xlfn.MAXIFS('Training Log'!$I$5:$I$301,'Training Log'!$C$5:$C$301,$A32))</f>
        <v/>
      </c>
      <c r="E32" s="53" t="str">
        <f aca="false">IF($F32=0,"",_xlfn.MAXIFS('Training Log'!$E$5:$E$301,'Training Log'!$C$5:$C$301,$A32))</f>
        <v/>
      </c>
      <c r="F32" s="48" t="n">
        <f aca="false">COUNTIFS('Training Log'!$C$5:$C$301,$A32)</f>
        <v>0</v>
      </c>
      <c r="G32" s="53" t="str">
        <f aca="false">IF($F32=0,"",SUMIFS('Training Log'!$H$5:$H$301,'Training Log'!$C$5:$C$301,$A32))</f>
        <v/>
      </c>
      <c r="H32" s="55" t="str">
        <f aca="false">IF($F32=0,"",_xlfn.MAXIFS('Training Log'!$A$5:$A$301,'Training Log'!$C$5:$C$301,$A32))</f>
        <v/>
      </c>
    </row>
    <row r="33" customFormat="false" ht="15" hidden="false" customHeight="false" outlineLevel="0" collapsed="false">
      <c r="A33" s="54" t="s">
        <v>638</v>
      </c>
      <c r="B33" s="54" t="str">
        <f aca="false">IFERROR(INDEX(ExPrimary,MATCH($A33,ExName,0)),"")</f>
        <v>Glutes</v>
      </c>
      <c r="C33" s="53" t="str">
        <f aca="false">IF(N(INDEX(Ex1RM,MATCH($A33,ExName,0)))=0,"",INDEX(Ex1RM,MATCH($A33,ExName,0)))</f>
        <v/>
      </c>
      <c r="D33" s="53" t="str">
        <f aca="false">IF($F33=0,"",_xlfn.MAXIFS('Training Log'!$I$5:$I$301,'Training Log'!$C$5:$C$301,$A33))</f>
        <v/>
      </c>
      <c r="E33" s="53" t="str">
        <f aca="false">IF($F33=0,"",_xlfn.MAXIFS('Training Log'!$E$5:$E$301,'Training Log'!$C$5:$C$301,$A33))</f>
        <v/>
      </c>
      <c r="F33" s="48" t="n">
        <f aca="false">COUNTIFS('Training Log'!$C$5:$C$301,$A33)</f>
        <v>0</v>
      </c>
      <c r="G33" s="53" t="str">
        <f aca="false">IF($F33=0,"",SUMIFS('Training Log'!$H$5:$H$301,'Training Log'!$C$5:$C$301,$A33))</f>
        <v/>
      </c>
      <c r="H33" s="55" t="str">
        <f aca="false">IF($F33=0,"",_xlfn.MAXIFS('Training Log'!$A$5:$A$301,'Training Log'!$C$5:$C$301,$A33))</f>
        <v/>
      </c>
    </row>
    <row r="34" customFormat="false" ht="15" hidden="false" customHeight="false" outlineLevel="0" collapsed="false">
      <c r="A34" s="54" t="s">
        <v>595</v>
      </c>
      <c r="B34" s="54" t="str">
        <f aca="false">IFERROR(INDEX(ExPrimary,MATCH($A34,ExName,0)),"")</f>
        <v>Shoulders</v>
      </c>
      <c r="C34" s="53" t="str">
        <f aca="false">IF(N(INDEX(Ex1RM,MATCH($A34,ExName,0)))=0,"",INDEX(Ex1RM,MATCH($A34,ExName,0)))</f>
        <v/>
      </c>
      <c r="D34" s="53" t="str">
        <f aca="false">IF($F34=0,"",_xlfn.MAXIFS('Training Log'!$I$5:$I$301,'Training Log'!$C$5:$C$301,$A34))</f>
        <v/>
      </c>
      <c r="E34" s="53" t="str">
        <f aca="false">IF($F34=0,"",_xlfn.MAXIFS('Training Log'!$E$5:$E$301,'Training Log'!$C$5:$C$301,$A34))</f>
        <v/>
      </c>
      <c r="F34" s="48" t="n">
        <f aca="false">COUNTIFS('Training Log'!$C$5:$C$301,$A34)</f>
        <v>0</v>
      </c>
      <c r="G34" s="53" t="str">
        <f aca="false">IF($F34=0,"",SUMIFS('Training Log'!$H$5:$H$301,'Training Log'!$C$5:$C$301,$A34))</f>
        <v/>
      </c>
      <c r="H34" s="55" t="str">
        <f aca="false">IF($F34=0,"",_xlfn.MAXIFS('Training Log'!$A$5:$A$301,'Training Log'!$C$5:$C$301,$A34))</f>
        <v/>
      </c>
    </row>
    <row r="35" customFormat="false" ht="15" hidden="false" customHeight="false" outlineLevel="0" collapsed="false">
      <c r="A35" s="54" t="s">
        <v>179</v>
      </c>
      <c r="B35" s="54" t="str">
        <f aca="false">IFERROR(INDEX(ExPrimary,MATCH($A35,ExName,0)),"")</f>
        <v>Glutes</v>
      </c>
      <c r="C35" s="53" t="str">
        <f aca="false">IF(N(INDEX(Ex1RM,MATCH($A35,ExName,0)))=0,"",INDEX(Ex1RM,MATCH($A35,ExName,0)))</f>
        <v/>
      </c>
      <c r="D35" s="53" t="str">
        <f aca="false">IF($F35=0,"",_xlfn.MAXIFS('Training Log'!$I$5:$I$301,'Training Log'!$C$5:$C$301,$A35))</f>
        <v/>
      </c>
      <c r="E35" s="53" t="str">
        <f aca="false">IF($F35=0,"",_xlfn.MAXIFS('Training Log'!$E$5:$E$301,'Training Log'!$C$5:$C$301,$A35))</f>
        <v/>
      </c>
      <c r="F35" s="48" t="n">
        <f aca="false">COUNTIFS('Training Log'!$C$5:$C$301,$A35)</f>
        <v>0</v>
      </c>
      <c r="G35" s="53" t="str">
        <f aca="false">IF($F35=0,"",SUMIFS('Training Log'!$H$5:$H$301,'Training Log'!$C$5:$C$301,$A35))</f>
        <v/>
      </c>
      <c r="H35" s="55" t="str">
        <f aca="false">IF($F35=0,"",_xlfn.MAXIFS('Training Log'!$A$5:$A$301,'Training Log'!$C$5:$C$301,$A35))</f>
        <v/>
      </c>
    </row>
    <row r="36" customFormat="false" ht="15" hidden="false" customHeight="false" outlineLevel="0" collapsed="false">
      <c r="A36" s="54" t="s">
        <v>326</v>
      </c>
      <c r="B36" s="54" t="str">
        <f aca="false">IFERROR(INDEX(ExPrimary,MATCH($A36,ExName,0)),"")</f>
        <v>Back</v>
      </c>
      <c r="C36" s="53" t="str">
        <f aca="false">IF(N(INDEX(Ex1RM,MATCH($A36,ExName,0)))=0,"",INDEX(Ex1RM,MATCH($A36,ExName,0)))</f>
        <v/>
      </c>
      <c r="D36" s="53" t="str">
        <f aca="false">IF($F36=0,"",_xlfn.MAXIFS('Training Log'!$I$5:$I$301,'Training Log'!$C$5:$C$301,$A36))</f>
        <v/>
      </c>
      <c r="E36" s="53" t="str">
        <f aca="false">IF($F36=0,"",_xlfn.MAXIFS('Training Log'!$E$5:$E$301,'Training Log'!$C$5:$C$301,$A36))</f>
        <v/>
      </c>
      <c r="F36" s="48" t="n">
        <f aca="false">COUNTIFS('Training Log'!$C$5:$C$301,$A36)</f>
        <v>0</v>
      </c>
      <c r="G36" s="53" t="str">
        <f aca="false">IF($F36=0,"",SUMIFS('Training Log'!$H$5:$H$301,'Training Log'!$C$5:$C$301,$A36))</f>
        <v/>
      </c>
      <c r="H36" s="55" t="str">
        <f aca="false">IF($F36=0,"",_xlfn.MAXIFS('Training Log'!$A$5:$A$301,'Training Log'!$C$5:$C$301,$A36))</f>
        <v/>
      </c>
    </row>
    <row r="37" customFormat="false" ht="15" hidden="false" customHeight="false" outlineLevel="0" collapsed="false">
      <c r="A37" s="54" t="s">
        <v>362</v>
      </c>
      <c r="B37" s="54" t="str">
        <f aca="false">IFERROR(INDEX(ExPrimary,MATCH($A37,ExName,0)),"")</f>
        <v>Back</v>
      </c>
      <c r="C37" s="53" t="str">
        <f aca="false">IF(N(INDEX(Ex1RM,MATCH($A37,ExName,0)))=0,"",INDEX(Ex1RM,MATCH($A37,ExName,0)))</f>
        <v/>
      </c>
      <c r="D37" s="53" t="str">
        <f aca="false">IF($F37=0,"",_xlfn.MAXIFS('Training Log'!$I$5:$I$301,'Training Log'!$C$5:$C$301,$A37))</f>
        <v/>
      </c>
      <c r="E37" s="53" t="str">
        <f aca="false">IF($F37=0,"",_xlfn.MAXIFS('Training Log'!$E$5:$E$301,'Training Log'!$C$5:$C$301,$A37))</f>
        <v/>
      </c>
      <c r="F37" s="48" t="n">
        <f aca="false">COUNTIFS('Training Log'!$C$5:$C$301,$A37)</f>
        <v>0</v>
      </c>
      <c r="G37" s="53" t="str">
        <f aca="false">IF($F37=0,"",SUMIFS('Training Log'!$H$5:$H$301,'Training Log'!$C$5:$C$301,$A37))</f>
        <v/>
      </c>
      <c r="H37" s="55" t="str">
        <f aca="false">IF($F37=0,"",_xlfn.MAXIFS('Training Log'!$A$5:$A$301,'Training Log'!$C$5:$C$301,$A37))</f>
        <v/>
      </c>
    </row>
    <row r="38" customFormat="false" ht="15" hidden="false" customHeight="false" outlineLevel="0" collapsed="false">
      <c r="A38" s="54" t="s">
        <v>447</v>
      </c>
      <c r="B38" s="54" t="str">
        <f aca="false">IFERROR(INDEX(ExPrimary,MATCH($A38,ExName,0)),"")</f>
        <v>Chest</v>
      </c>
      <c r="C38" s="53" t="str">
        <f aca="false">IF(N(INDEX(Ex1RM,MATCH($A38,ExName,0)))=0,"",INDEX(Ex1RM,MATCH($A38,ExName,0)))</f>
        <v/>
      </c>
      <c r="D38" s="53" t="str">
        <f aca="false">IF($F38=0,"",_xlfn.MAXIFS('Training Log'!$I$5:$I$301,'Training Log'!$C$5:$C$301,$A38))</f>
        <v/>
      </c>
      <c r="E38" s="53" t="str">
        <f aca="false">IF($F38=0,"",_xlfn.MAXIFS('Training Log'!$E$5:$E$301,'Training Log'!$C$5:$C$301,$A38))</f>
        <v/>
      </c>
      <c r="F38" s="48" t="n">
        <f aca="false">COUNTIFS('Training Log'!$C$5:$C$301,$A38)</f>
        <v>0</v>
      </c>
      <c r="G38" s="53" t="str">
        <f aca="false">IF($F38=0,"",SUMIFS('Training Log'!$H$5:$H$301,'Training Log'!$C$5:$C$301,$A38))</f>
        <v/>
      </c>
      <c r="H38" s="55" t="str">
        <f aca="false">IF($F38=0,"",_xlfn.MAXIFS('Training Log'!$A$5:$A$301,'Training Log'!$C$5:$C$301,$A38))</f>
        <v/>
      </c>
    </row>
    <row r="39" customFormat="false" ht="15" hidden="false" customHeight="false" outlineLevel="0" collapsed="false">
      <c r="A39" s="54" t="s">
        <v>397</v>
      </c>
      <c r="B39" s="54" t="str">
        <f aca="false">IFERROR(INDEX(ExPrimary,MATCH($A39,ExName,0)),"")</f>
        <v>Full body</v>
      </c>
      <c r="C39" s="53" t="str">
        <f aca="false">IF(N(INDEX(Ex1RM,MATCH($A39,ExName,0)))=0,"",INDEX(Ex1RM,MATCH($A39,ExName,0)))</f>
        <v/>
      </c>
      <c r="D39" s="53" t="str">
        <f aca="false">IF($F39=0,"",_xlfn.MAXIFS('Training Log'!$I$5:$I$301,'Training Log'!$C$5:$C$301,$A39))</f>
        <v/>
      </c>
      <c r="E39" s="53" t="str">
        <f aca="false">IF($F39=0,"",_xlfn.MAXIFS('Training Log'!$E$5:$E$301,'Training Log'!$C$5:$C$301,$A39))</f>
        <v/>
      </c>
      <c r="F39" s="48" t="n">
        <f aca="false">COUNTIFS('Training Log'!$C$5:$C$301,$A39)</f>
        <v>0</v>
      </c>
      <c r="G39" s="53" t="str">
        <f aca="false">IF($F39=0,"",SUMIFS('Training Log'!$H$5:$H$301,'Training Log'!$C$5:$C$301,$A39))</f>
        <v/>
      </c>
      <c r="H39" s="55" t="str">
        <f aca="false">IF($F39=0,"",_xlfn.MAXIFS('Training Log'!$A$5:$A$301,'Training Log'!$C$5:$C$301,$A39))</f>
        <v/>
      </c>
    </row>
    <row r="40" customFormat="false" ht="15" hidden="false" customHeight="false" outlineLevel="0" collapsed="false">
      <c r="A40" s="54" t="s">
        <v>408</v>
      </c>
      <c r="B40" s="54" t="str">
        <f aca="false">IFERROR(INDEX(ExPrimary,MATCH($A40,ExName,0)),"")</f>
        <v>Traps</v>
      </c>
      <c r="C40" s="53" t="str">
        <f aca="false">IF(N(INDEX(Ex1RM,MATCH($A40,ExName,0)))=0,"",INDEX(Ex1RM,MATCH($A40,ExName,0)))</f>
        <v/>
      </c>
      <c r="D40" s="53" t="str">
        <f aca="false">IF($F40=0,"",_xlfn.MAXIFS('Training Log'!$I$5:$I$301,'Training Log'!$C$5:$C$301,$A40))</f>
        <v/>
      </c>
      <c r="E40" s="53" t="str">
        <f aca="false">IF($F40=0,"",_xlfn.MAXIFS('Training Log'!$E$5:$E$301,'Training Log'!$C$5:$C$301,$A40))</f>
        <v/>
      </c>
      <c r="F40" s="48" t="n">
        <f aca="false">COUNTIFS('Training Log'!$C$5:$C$301,$A40)</f>
        <v>0</v>
      </c>
      <c r="G40" s="53" t="str">
        <f aca="false">IF($F40=0,"",SUMIFS('Training Log'!$H$5:$H$301,'Training Log'!$C$5:$C$301,$A40))</f>
        <v/>
      </c>
      <c r="H40" s="55" t="str">
        <f aca="false">IF($F40=0,"",_xlfn.MAXIFS('Training Log'!$A$5:$A$301,'Training Log'!$C$5:$C$301,$A40))</f>
        <v/>
      </c>
    </row>
    <row r="41" customFormat="false" ht="15" hidden="false" customHeight="false" outlineLevel="0" collapsed="false">
      <c r="A41" s="54" t="s">
        <v>226</v>
      </c>
      <c r="B41" s="54" t="str">
        <f aca="false">IFERROR(INDEX(ExPrimary,MATCH($A41,ExName,0)),"")</f>
        <v>Triceps</v>
      </c>
      <c r="C41" s="53" t="str">
        <f aca="false">IF(N(INDEX(Ex1RM,MATCH($A41,ExName,0)))=0,"",INDEX(Ex1RM,MATCH($A41,ExName,0)))</f>
        <v/>
      </c>
      <c r="D41" s="53" t="str">
        <f aca="false">IF($F41=0,"",_xlfn.MAXIFS('Training Log'!$I$5:$I$301,'Training Log'!$C$5:$C$301,$A41))</f>
        <v/>
      </c>
      <c r="E41" s="53" t="str">
        <f aca="false">IF($F41=0,"",_xlfn.MAXIFS('Training Log'!$E$5:$E$301,'Training Log'!$C$5:$C$301,$A41))</f>
        <v/>
      </c>
      <c r="F41" s="48" t="n">
        <f aca="false">COUNTIFS('Training Log'!$C$5:$C$301,$A41)</f>
        <v>0</v>
      </c>
      <c r="G41" s="53" t="str">
        <f aca="false">IF($F41=0,"",SUMIFS('Training Log'!$H$5:$H$301,'Training Log'!$C$5:$C$301,$A41))</f>
        <v/>
      </c>
      <c r="H41" s="55" t="str">
        <f aca="false">IF($F41=0,"",_xlfn.MAXIFS('Training Log'!$A$5:$A$301,'Training Log'!$C$5:$C$301,$A41))</f>
        <v/>
      </c>
    </row>
    <row r="42" customFormat="false" ht="15" hidden="false" customHeight="false" outlineLevel="0" collapsed="false">
      <c r="A42" s="54" t="s">
        <v>120</v>
      </c>
      <c r="B42" s="54" t="str">
        <f aca="false">IFERROR(INDEX(ExPrimary,MATCH($A42,ExName,0)),"")</f>
        <v>Hamstrings</v>
      </c>
      <c r="C42" s="53" t="str">
        <f aca="false">IF(N(INDEX(Ex1RM,MATCH($A42,ExName,0)))=0,"",INDEX(Ex1RM,MATCH($A42,ExName,0)))</f>
        <v/>
      </c>
      <c r="D42" s="53" t="str">
        <f aca="false">IF($F42=0,"",_xlfn.MAXIFS('Training Log'!$I$5:$I$301,'Training Log'!$C$5:$C$301,$A42))</f>
        <v/>
      </c>
      <c r="E42" s="53" t="str">
        <f aca="false">IF($F42=0,"",_xlfn.MAXIFS('Training Log'!$E$5:$E$301,'Training Log'!$C$5:$C$301,$A42))</f>
        <v/>
      </c>
      <c r="F42" s="48" t="n">
        <f aca="false">COUNTIFS('Training Log'!$C$5:$C$301,$A42)</f>
        <v>0</v>
      </c>
      <c r="G42" s="53" t="str">
        <f aca="false">IF($F42=0,"",SUMIFS('Training Log'!$H$5:$H$301,'Training Log'!$C$5:$C$301,$A42))</f>
        <v/>
      </c>
      <c r="H42" s="55" t="str">
        <f aca="false">IF($F42=0,"",_xlfn.MAXIFS('Training Log'!$A$5:$A$301,'Training Log'!$C$5:$C$301,$A42))</f>
        <v/>
      </c>
    </row>
    <row r="43" customFormat="false" ht="15" hidden="false" customHeight="false" outlineLevel="0" collapsed="false">
      <c r="A43" s="54" t="s">
        <v>506</v>
      </c>
      <c r="B43" s="54" t="str">
        <f aca="false">IFERROR(INDEX(ExPrimary,MATCH($A43,ExName,0)),"")</f>
        <v>Adductors</v>
      </c>
      <c r="C43" s="53" t="str">
        <f aca="false">IF(N(INDEX(Ex1RM,MATCH($A43,ExName,0)))=0,"",INDEX(Ex1RM,MATCH($A43,ExName,0)))</f>
        <v/>
      </c>
      <c r="D43" s="53" t="str">
        <f aca="false">IF($F43=0,"",_xlfn.MAXIFS('Training Log'!$I$5:$I$301,'Training Log'!$C$5:$C$301,$A43))</f>
        <v/>
      </c>
      <c r="E43" s="53" t="str">
        <f aca="false">IF($F43=0,"",_xlfn.MAXIFS('Training Log'!$E$5:$E$301,'Training Log'!$C$5:$C$301,$A43))</f>
        <v/>
      </c>
      <c r="F43" s="48" t="n">
        <f aca="false">COUNTIFS('Training Log'!$C$5:$C$301,$A43)</f>
        <v>0</v>
      </c>
      <c r="G43" s="53" t="str">
        <f aca="false">IF($F43=0,"",SUMIFS('Training Log'!$H$5:$H$301,'Training Log'!$C$5:$C$301,$A43))</f>
        <v/>
      </c>
      <c r="H43" s="55" t="str">
        <f aca="false">IF($F43=0,"",_xlfn.MAXIFS('Training Log'!$A$5:$A$301,'Training Log'!$C$5:$C$301,$A43))</f>
        <v/>
      </c>
    </row>
    <row r="44" customFormat="false" ht="15" hidden="false" customHeight="false" outlineLevel="0" collapsed="false">
      <c r="A44" s="54" t="s">
        <v>205</v>
      </c>
      <c r="B44" s="54" t="str">
        <f aca="false">IFERROR(INDEX(ExPrimary,MATCH($A44,ExName,0)),"")</f>
        <v>Glutes</v>
      </c>
      <c r="C44" s="53" t="str">
        <f aca="false">IF(N(INDEX(Ex1RM,MATCH($A44,ExName,0)))=0,"",INDEX(Ex1RM,MATCH($A44,ExName,0)))</f>
        <v/>
      </c>
      <c r="D44" s="53" t="str">
        <f aca="false">IF($F44=0,"",_xlfn.MAXIFS('Training Log'!$I$5:$I$301,'Training Log'!$C$5:$C$301,$A44))</f>
        <v/>
      </c>
      <c r="E44" s="53" t="str">
        <f aca="false">IF($F44=0,"",_xlfn.MAXIFS('Training Log'!$E$5:$E$301,'Training Log'!$C$5:$C$301,$A44))</f>
        <v/>
      </c>
      <c r="F44" s="48" t="n">
        <f aca="false">COUNTIFS('Training Log'!$C$5:$C$301,$A44)</f>
        <v>0</v>
      </c>
      <c r="G44" s="53" t="str">
        <f aca="false">IF($F44=0,"",SUMIFS('Training Log'!$H$5:$H$301,'Training Log'!$C$5:$C$301,$A44))</f>
        <v/>
      </c>
      <c r="H44" s="55" t="str">
        <f aca="false">IF($F44=0,"",_xlfn.MAXIFS('Training Log'!$A$5:$A$301,'Training Log'!$C$5:$C$301,$A44))</f>
        <v/>
      </c>
    </row>
    <row r="45" customFormat="false" ht="15" hidden="false" customHeight="false" outlineLevel="0" collapsed="false">
      <c r="A45" s="54" t="s">
        <v>481</v>
      </c>
      <c r="B45" s="54" t="str">
        <f aca="false">IFERROR(INDEX(ExPrimary,MATCH($A45,ExName,0)),"")</f>
        <v>Core</v>
      </c>
      <c r="C45" s="53" t="str">
        <f aca="false">IF(N(INDEX(Ex1RM,MATCH($A45,ExName,0)))=0,"",INDEX(Ex1RM,MATCH($A45,ExName,0)))</f>
        <v/>
      </c>
      <c r="D45" s="53" t="str">
        <f aca="false">IF($F45=0,"",_xlfn.MAXIFS('Training Log'!$I$5:$I$301,'Training Log'!$C$5:$C$301,$A45))</f>
        <v/>
      </c>
      <c r="E45" s="53" t="str">
        <f aca="false">IF($F45=0,"",_xlfn.MAXIFS('Training Log'!$E$5:$E$301,'Training Log'!$C$5:$C$301,$A45))</f>
        <v/>
      </c>
      <c r="F45" s="48" t="n">
        <f aca="false">COUNTIFS('Training Log'!$C$5:$C$301,$A45)</f>
        <v>0</v>
      </c>
      <c r="G45" s="53" t="str">
        <f aca="false">IF($F45=0,"",SUMIFS('Training Log'!$H$5:$H$301,'Training Log'!$C$5:$C$301,$A45))</f>
        <v/>
      </c>
      <c r="H45" s="55" t="str">
        <f aca="false">IF($F45=0,"",_xlfn.MAXIFS('Training Log'!$A$5:$A$301,'Training Log'!$C$5:$C$301,$A45))</f>
        <v/>
      </c>
    </row>
    <row r="46" customFormat="false" ht="15" hidden="false" customHeight="false" outlineLevel="0" collapsed="false">
      <c r="A46" s="54" t="s">
        <v>589</v>
      </c>
      <c r="B46" s="54" t="str">
        <f aca="false">IFERROR(INDEX(ExPrimary,MATCH($A46,ExName,0)),"")</f>
        <v>Forearms</v>
      </c>
      <c r="C46" s="53" t="str">
        <f aca="false">IF(N(INDEX(Ex1RM,MATCH($A46,ExName,0)))=0,"",INDEX(Ex1RM,MATCH($A46,ExName,0)))</f>
        <v/>
      </c>
      <c r="D46" s="53" t="str">
        <f aca="false">IF($F46=0,"",_xlfn.MAXIFS('Training Log'!$I$5:$I$301,'Training Log'!$C$5:$C$301,$A46))</f>
        <v/>
      </c>
      <c r="E46" s="53" t="str">
        <f aca="false">IF($F46=0,"",_xlfn.MAXIFS('Training Log'!$E$5:$E$301,'Training Log'!$C$5:$C$301,$A46))</f>
        <v/>
      </c>
      <c r="F46" s="48" t="n">
        <f aca="false">COUNTIFS('Training Log'!$C$5:$C$301,$A46)</f>
        <v>0</v>
      </c>
      <c r="G46" s="53" t="str">
        <f aca="false">IF($F46=0,"",SUMIFS('Training Log'!$H$5:$H$301,'Training Log'!$C$5:$C$301,$A46))</f>
        <v/>
      </c>
      <c r="H46" s="55" t="str">
        <f aca="false">IF($F46=0,"",_xlfn.MAXIFS('Training Log'!$A$5:$A$301,'Training Log'!$C$5:$C$301,$A46))</f>
        <v/>
      </c>
    </row>
    <row r="47" customFormat="false" ht="15" hidden="false" customHeight="false" outlineLevel="0" collapsed="false">
      <c r="A47" s="54" t="s">
        <v>222</v>
      </c>
      <c r="B47" s="54" t="str">
        <f aca="false">IFERROR(INDEX(ExPrimary,MATCH($A47,ExName,0)),"")</f>
        <v>Chest</v>
      </c>
      <c r="C47" s="53" t="str">
        <f aca="false">IF(N(INDEX(Ex1RM,MATCH($A47,ExName,0)))=0,"",INDEX(Ex1RM,MATCH($A47,ExName,0)))</f>
        <v/>
      </c>
      <c r="D47" s="53" t="str">
        <f aca="false">IF($F47=0,"",_xlfn.MAXIFS('Training Log'!$I$5:$I$301,'Training Log'!$C$5:$C$301,$A47))</f>
        <v/>
      </c>
      <c r="E47" s="53" t="str">
        <f aca="false">IF($F47=0,"",_xlfn.MAXIFS('Training Log'!$E$5:$E$301,'Training Log'!$C$5:$C$301,$A47))</f>
        <v/>
      </c>
      <c r="F47" s="48" t="n">
        <f aca="false">COUNTIFS('Training Log'!$C$5:$C$301,$A47)</f>
        <v>0</v>
      </c>
      <c r="G47" s="53" t="str">
        <f aca="false">IF($F47=0,"",SUMIFS('Training Log'!$H$5:$H$301,'Training Log'!$C$5:$C$301,$A47))</f>
        <v/>
      </c>
      <c r="H47" s="55" t="str">
        <f aca="false">IF($F47=0,"",_xlfn.MAXIFS('Training Log'!$A$5:$A$301,'Training Log'!$C$5:$C$301,$A47))</f>
        <v/>
      </c>
    </row>
    <row r="48" customFormat="false" ht="15" hidden="false" customHeight="false" outlineLevel="0" collapsed="false">
      <c r="A48" s="54" t="s">
        <v>136</v>
      </c>
      <c r="B48" s="54" t="str">
        <f aca="false">IFERROR(INDEX(ExPrimary,MATCH($A48,ExName,0)),"")</f>
        <v>Hamstrings</v>
      </c>
      <c r="C48" s="53" t="str">
        <f aca="false">IF(N(INDEX(Ex1RM,MATCH($A48,ExName,0)))=0,"",INDEX(Ex1RM,MATCH($A48,ExName,0)))</f>
        <v/>
      </c>
      <c r="D48" s="53" t="str">
        <f aca="false">IF($F48=0,"",_xlfn.MAXIFS('Training Log'!$I$5:$I$301,'Training Log'!$C$5:$C$301,$A48))</f>
        <v/>
      </c>
      <c r="E48" s="53" t="str">
        <f aca="false">IF($F48=0,"",_xlfn.MAXIFS('Training Log'!$E$5:$E$301,'Training Log'!$C$5:$C$301,$A48))</f>
        <v/>
      </c>
      <c r="F48" s="48" t="n">
        <f aca="false">COUNTIFS('Training Log'!$C$5:$C$301,$A48)</f>
        <v>0</v>
      </c>
      <c r="G48" s="53" t="str">
        <f aca="false">IF($F48=0,"",SUMIFS('Training Log'!$H$5:$H$301,'Training Log'!$C$5:$C$301,$A48))</f>
        <v/>
      </c>
      <c r="H48" s="55" t="str">
        <f aca="false">IF($F48=0,"",_xlfn.MAXIFS('Training Log'!$A$5:$A$301,'Training Log'!$C$5:$C$301,$A48))</f>
        <v/>
      </c>
    </row>
    <row r="49" customFormat="false" ht="15" hidden="false" customHeight="false" outlineLevel="0" collapsed="false">
      <c r="A49" s="54" t="s">
        <v>249</v>
      </c>
      <c r="B49" s="54" t="str">
        <f aca="false">IFERROR(INDEX(ExPrimary,MATCH($A49,ExName,0)),"")</f>
        <v>Chest</v>
      </c>
      <c r="C49" s="53" t="str">
        <f aca="false">IF(N(INDEX(Ex1RM,MATCH($A49,ExName,0)))=0,"",INDEX(Ex1RM,MATCH($A49,ExName,0)))</f>
        <v/>
      </c>
      <c r="D49" s="53" t="str">
        <f aca="false">IF($F49=0,"",_xlfn.MAXIFS('Training Log'!$I$5:$I$301,'Training Log'!$C$5:$C$301,$A49))</f>
        <v/>
      </c>
      <c r="E49" s="53" t="str">
        <f aca="false">IF($F49=0,"",_xlfn.MAXIFS('Training Log'!$E$5:$E$301,'Training Log'!$C$5:$C$301,$A49))</f>
        <v/>
      </c>
      <c r="F49" s="48" t="n">
        <f aca="false">COUNTIFS('Training Log'!$C$5:$C$301,$A49)</f>
        <v>0</v>
      </c>
      <c r="G49" s="53" t="str">
        <f aca="false">IF($F49=0,"",SUMIFS('Training Log'!$H$5:$H$301,'Training Log'!$C$5:$C$301,$A49))</f>
        <v/>
      </c>
      <c r="H49" s="55" t="str">
        <f aca="false">IF($F49=0,"",_xlfn.MAXIFS('Training Log'!$A$5:$A$301,'Training Log'!$C$5:$C$301,$A49))</f>
        <v/>
      </c>
    </row>
    <row r="50" customFormat="false" ht="15" hidden="false" customHeight="false" outlineLevel="0" collapsed="false">
      <c r="A50" s="54" t="s">
        <v>441</v>
      </c>
      <c r="B50" s="54" t="str">
        <f aca="false">IFERROR(INDEX(ExPrimary,MATCH($A50,ExName,0)),"")</f>
        <v>Quads</v>
      </c>
      <c r="C50" s="53" t="str">
        <f aca="false">IF(N(INDEX(Ex1RM,MATCH($A50,ExName,0)))=0,"",INDEX(Ex1RM,MATCH($A50,ExName,0)))</f>
        <v/>
      </c>
      <c r="D50" s="53" t="str">
        <f aca="false">IF($F50=0,"",_xlfn.MAXIFS('Training Log'!$I$5:$I$301,'Training Log'!$C$5:$C$301,$A50))</f>
        <v/>
      </c>
      <c r="E50" s="53" t="str">
        <f aca="false">IF($F50=0,"",_xlfn.MAXIFS('Training Log'!$E$5:$E$301,'Training Log'!$C$5:$C$301,$A50))</f>
        <v/>
      </c>
      <c r="F50" s="48" t="n">
        <f aca="false">COUNTIFS('Training Log'!$C$5:$C$301,$A50)</f>
        <v>0</v>
      </c>
      <c r="G50" s="53" t="str">
        <f aca="false">IF($F50=0,"",SUMIFS('Training Log'!$H$5:$H$301,'Training Log'!$C$5:$C$301,$A50))</f>
        <v/>
      </c>
      <c r="H50" s="55" t="str">
        <f aca="false">IF($F50=0,"",_xlfn.MAXIFS('Training Log'!$A$5:$A$301,'Training Log'!$C$5:$C$301,$A50))</f>
        <v/>
      </c>
    </row>
    <row r="51" customFormat="false" ht="15" hidden="false" customHeight="false" outlineLevel="0" collapsed="false">
      <c r="A51" s="54" t="s">
        <v>256</v>
      </c>
      <c r="B51" s="54" t="str">
        <f aca="false">IFERROR(INDEX(ExPrimary,MATCH($A51,ExName,0)),"")</f>
        <v>Chest</v>
      </c>
      <c r="C51" s="53" t="str">
        <f aca="false">IF(N(INDEX(Ex1RM,MATCH($A51,ExName,0)))=0,"",INDEX(Ex1RM,MATCH($A51,ExName,0)))</f>
        <v/>
      </c>
      <c r="D51" s="53" t="str">
        <f aca="false">IF($F51=0,"",_xlfn.MAXIFS('Training Log'!$I$5:$I$301,'Training Log'!$C$5:$C$301,$A51))</f>
        <v/>
      </c>
      <c r="E51" s="53" t="str">
        <f aca="false">IF($F51=0,"",_xlfn.MAXIFS('Training Log'!$E$5:$E$301,'Training Log'!$C$5:$C$301,$A51))</f>
        <v/>
      </c>
      <c r="F51" s="48" t="n">
        <f aca="false">COUNTIFS('Training Log'!$C$5:$C$301,$A51)</f>
        <v>0</v>
      </c>
      <c r="G51" s="53" t="str">
        <f aca="false">IF($F51=0,"",SUMIFS('Training Log'!$H$5:$H$301,'Training Log'!$C$5:$C$301,$A51))</f>
        <v/>
      </c>
      <c r="H51" s="55" t="str">
        <f aca="false">IF($F51=0,"",_xlfn.MAXIFS('Training Log'!$A$5:$A$301,'Training Log'!$C$5:$C$301,$A51))</f>
        <v/>
      </c>
    </row>
    <row r="52" customFormat="false" ht="15" hidden="false" customHeight="false" outlineLevel="0" collapsed="false">
      <c r="A52" s="54" t="s">
        <v>236</v>
      </c>
      <c r="B52" s="54" t="str">
        <f aca="false">IFERROR(INDEX(ExPrimary,MATCH($A52,ExName,0)),"")</f>
        <v>Chest</v>
      </c>
      <c r="C52" s="53" t="str">
        <f aca="false">IF(N(INDEX(Ex1RM,MATCH($A52,ExName,0)))=0,"",INDEX(Ex1RM,MATCH($A52,ExName,0)))</f>
        <v/>
      </c>
      <c r="D52" s="53" t="str">
        <f aca="false">IF($F52=0,"",_xlfn.MAXIFS('Training Log'!$I$5:$I$301,'Training Log'!$C$5:$C$301,$A52))</f>
        <v/>
      </c>
      <c r="E52" s="53" t="str">
        <f aca="false">IF($F52=0,"",_xlfn.MAXIFS('Training Log'!$E$5:$E$301,'Training Log'!$C$5:$C$301,$A52))</f>
        <v/>
      </c>
      <c r="F52" s="48" t="n">
        <f aca="false">COUNTIFS('Training Log'!$C$5:$C$301,$A52)</f>
        <v>0</v>
      </c>
      <c r="G52" s="53" t="str">
        <f aca="false">IF($F52=0,"",SUMIFS('Training Log'!$H$5:$H$301,'Training Log'!$C$5:$C$301,$A52))</f>
        <v/>
      </c>
      <c r="H52" s="55" t="str">
        <f aca="false">IF($F52=0,"",_xlfn.MAXIFS('Training Log'!$A$5:$A$301,'Training Log'!$C$5:$C$301,$A52))</f>
        <v/>
      </c>
    </row>
    <row r="53" customFormat="false" ht="15" hidden="false" customHeight="false" outlineLevel="0" collapsed="false">
      <c r="A53" s="54" t="s">
        <v>556</v>
      </c>
      <c r="B53" s="54" t="str">
        <f aca="false">IFERROR(INDEX(ExPrimary,MATCH($A53,ExName,0)),"")</f>
        <v>Biceps</v>
      </c>
      <c r="C53" s="53" t="str">
        <f aca="false">IF(N(INDEX(Ex1RM,MATCH($A53,ExName,0)))=0,"",INDEX(Ex1RM,MATCH($A53,ExName,0)))</f>
        <v/>
      </c>
      <c r="D53" s="53" t="str">
        <f aca="false">IF($F53=0,"",_xlfn.MAXIFS('Training Log'!$I$5:$I$301,'Training Log'!$C$5:$C$301,$A53))</f>
        <v/>
      </c>
      <c r="E53" s="53" t="str">
        <f aca="false">IF($F53=0,"",_xlfn.MAXIFS('Training Log'!$E$5:$E$301,'Training Log'!$C$5:$C$301,$A53))</f>
        <v/>
      </c>
      <c r="F53" s="48" t="n">
        <f aca="false">COUNTIFS('Training Log'!$C$5:$C$301,$A53)</f>
        <v>0</v>
      </c>
      <c r="G53" s="53" t="str">
        <f aca="false">IF($F53=0,"",SUMIFS('Training Log'!$H$5:$H$301,'Training Log'!$C$5:$C$301,$A53))</f>
        <v/>
      </c>
      <c r="H53" s="55" t="str">
        <f aca="false">IF($F53=0,"",_xlfn.MAXIFS('Training Log'!$A$5:$A$301,'Training Log'!$C$5:$C$301,$A53))</f>
        <v/>
      </c>
    </row>
    <row r="54" customFormat="false" ht="15" hidden="false" customHeight="false" outlineLevel="0" collapsed="false">
      <c r="A54" s="54" t="s">
        <v>266</v>
      </c>
      <c r="B54" s="54" t="str">
        <f aca="false">IFERROR(INDEX(ExPrimary,MATCH($A54,ExName,0)),"")</f>
        <v>Chest</v>
      </c>
      <c r="C54" s="53" t="str">
        <f aca="false">IF(N(INDEX(Ex1RM,MATCH($A54,ExName,0)))=0,"",INDEX(Ex1RM,MATCH($A54,ExName,0)))</f>
        <v/>
      </c>
      <c r="D54" s="53" t="str">
        <f aca="false">IF($F54=0,"",_xlfn.MAXIFS('Training Log'!$I$5:$I$301,'Training Log'!$C$5:$C$301,$A54))</f>
        <v/>
      </c>
      <c r="E54" s="53" t="str">
        <f aca="false">IF($F54=0,"",_xlfn.MAXIFS('Training Log'!$E$5:$E$301,'Training Log'!$C$5:$C$301,$A54))</f>
        <v/>
      </c>
      <c r="F54" s="48" t="n">
        <f aca="false">COUNTIFS('Training Log'!$C$5:$C$301,$A54)</f>
        <v>0</v>
      </c>
      <c r="G54" s="53" t="str">
        <f aca="false">IF($F54=0,"",SUMIFS('Training Log'!$H$5:$H$301,'Training Log'!$C$5:$C$301,$A54))</f>
        <v/>
      </c>
      <c r="H54" s="55" t="str">
        <f aca="false">IF($F54=0,"",_xlfn.MAXIFS('Training Log'!$A$5:$A$301,'Training Log'!$C$5:$C$301,$A54))</f>
        <v/>
      </c>
    </row>
    <row r="55" customFormat="false" ht="15" hidden="false" customHeight="false" outlineLevel="0" collapsed="false">
      <c r="A55" s="54" t="s">
        <v>323</v>
      </c>
      <c r="B55" s="54" t="str">
        <f aca="false">IFERROR(INDEX(ExPrimary,MATCH($A55,ExName,0)),"")</f>
        <v>Back</v>
      </c>
      <c r="C55" s="53" t="str">
        <f aca="false">IF(N(INDEX(Ex1RM,MATCH($A55,ExName,0)))=0,"",INDEX(Ex1RM,MATCH($A55,ExName,0)))</f>
        <v/>
      </c>
      <c r="D55" s="53" t="str">
        <f aca="false">IF($F55=0,"",_xlfn.MAXIFS('Training Log'!$I$5:$I$301,'Training Log'!$C$5:$C$301,$A55))</f>
        <v/>
      </c>
      <c r="E55" s="53" t="str">
        <f aca="false">IF($F55=0,"",_xlfn.MAXIFS('Training Log'!$E$5:$E$301,'Training Log'!$C$5:$C$301,$A55))</f>
        <v/>
      </c>
      <c r="F55" s="48" t="n">
        <f aca="false">COUNTIFS('Training Log'!$C$5:$C$301,$A55)</f>
        <v>0</v>
      </c>
      <c r="G55" s="53" t="str">
        <f aca="false">IF($F55=0,"",SUMIFS('Training Log'!$H$5:$H$301,'Training Log'!$C$5:$C$301,$A55))</f>
        <v/>
      </c>
      <c r="H55" s="55" t="str">
        <f aca="false">IF($F55=0,"",_xlfn.MAXIFS('Training Log'!$A$5:$A$301,'Training Log'!$C$5:$C$301,$A55))</f>
        <v/>
      </c>
    </row>
    <row r="56" customFormat="false" ht="15" hidden="false" customHeight="false" outlineLevel="0" collapsed="false">
      <c r="A56" s="54" t="s">
        <v>608</v>
      </c>
      <c r="B56" s="54" t="str">
        <f aca="false">IFERROR(INDEX(ExPrimary,MATCH($A56,ExName,0)),"")</f>
        <v>Traps</v>
      </c>
      <c r="C56" s="53" t="str">
        <f aca="false">IF(N(INDEX(Ex1RM,MATCH($A56,ExName,0)))=0,"",INDEX(Ex1RM,MATCH($A56,ExName,0)))</f>
        <v/>
      </c>
      <c r="D56" s="53" t="str">
        <f aca="false">IF($F56=0,"",_xlfn.MAXIFS('Training Log'!$I$5:$I$301,'Training Log'!$C$5:$C$301,$A56))</f>
        <v/>
      </c>
      <c r="E56" s="53" t="str">
        <f aca="false">IF($F56=0,"",_xlfn.MAXIFS('Training Log'!$E$5:$E$301,'Training Log'!$C$5:$C$301,$A56))</f>
        <v/>
      </c>
      <c r="F56" s="48" t="n">
        <f aca="false">COUNTIFS('Training Log'!$C$5:$C$301,$A56)</f>
        <v>0</v>
      </c>
      <c r="G56" s="53" t="str">
        <f aca="false">IF($F56=0,"",SUMIFS('Training Log'!$H$5:$H$301,'Training Log'!$C$5:$C$301,$A56))</f>
        <v/>
      </c>
      <c r="H56" s="55" t="str">
        <f aca="false">IF($F56=0,"",_xlfn.MAXIFS('Training Log'!$A$5:$A$301,'Training Log'!$C$5:$C$301,$A56))</f>
        <v/>
      </c>
    </row>
    <row r="57" customFormat="false" ht="15" hidden="false" customHeight="false" outlineLevel="0" collapsed="false">
      <c r="A57" s="54" t="s">
        <v>419</v>
      </c>
      <c r="B57" s="54" t="str">
        <f aca="false">IFERROR(INDEX(ExPrimary,MATCH($A57,ExName,0)),"")</f>
        <v>Full body</v>
      </c>
      <c r="C57" s="53" t="str">
        <f aca="false">IF(N(INDEX(Ex1RM,MATCH($A57,ExName,0)))=0,"",INDEX(Ex1RM,MATCH($A57,ExName,0)))</f>
        <v/>
      </c>
      <c r="D57" s="53" t="str">
        <f aca="false">IF($F57=0,"",_xlfn.MAXIFS('Training Log'!$I$5:$I$301,'Training Log'!$C$5:$C$301,$A57))</f>
        <v/>
      </c>
      <c r="E57" s="53" t="str">
        <f aca="false">IF($F57=0,"",_xlfn.MAXIFS('Training Log'!$E$5:$E$301,'Training Log'!$C$5:$C$301,$A57))</f>
        <v/>
      </c>
      <c r="F57" s="48" t="n">
        <f aca="false">COUNTIFS('Training Log'!$C$5:$C$301,$A57)</f>
        <v>0</v>
      </c>
      <c r="G57" s="53" t="str">
        <f aca="false">IF($F57=0,"",SUMIFS('Training Log'!$H$5:$H$301,'Training Log'!$C$5:$C$301,$A57))</f>
        <v/>
      </c>
      <c r="H57" s="55" t="str">
        <f aca="false">IF($F57=0,"",_xlfn.MAXIFS('Training Log'!$A$5:$A$301,'Training Log'!$C$5:$C$301,$A57))</f>
        <v/>
      </c>
    </row>
    <row r="58" customFormat="false" ht="15" hidden="false" customHeight="false" outlineLevel="0" collapsed="false">
      <c r="A58" s="54" t="s">
        <v>611</v>
      </c>
      <c r="B58" s="54" t="str">
        <f aca="false">IFERROR(INDEX(ExPrimary,MATCH($A58,ExName,0)),"")</f>
        <v>Shoulders</v>
      </c>
      <c r="C58" s="53" t="str">
        <f aca="false">IF(N(INDEX(Ex1RM,MATCH($A58,ExName,0)))=0,"",INDEX(Ex1RM,MATCH($A58,ExName,0)))</f>
        <v/>
      </c>
      <c r="D58" s="53" t="str">
        <f aca="false">IF($F58=0,"",_xlfn.MAXIFS('Training Log'!$I$5:$I$301,'Training Log'!$C$5:$C$301,$A58))</f>
        <v/>
      </c>
      <c r="E58" s="53" t="str">
        <f aca="false">IF($F58=0,"",_xlfn.MAXIFS('Training Log'!$E$5:$E$301,'Training Log'!$C$5:$C$301,$A58))</f>
        <v/>
      </c>
      <c r="F58" s="48" t="n">
        <f aca="false">COUNTIFS('Training Log'!$C$5:$C$301,$A58)</f>
        <v>0</v>
      </c>
      <c r="G58" s="53" t="str">
        <f aca="false">IF($F58=0,"",SUMIFS('Training Log'!$H$5:$H$301,'Training Log'!$C$5:$C$301,$A58))</f>
        <v/>
      </c>
      <c r="H58" s="55" t="str">
        <f aca="false">IF($F58=0,"",_xlfn.MAXIFS('Training Log'!$A$5:$A$301,'Training Log'!$C$5:$C$301,$A58))</f>
        <v/>
      </c>
    </row>
    <row r="59" customFormat="false" ht="15" hidden="false" customHeight="false" outlineLevel="0" collapsed="false">
      <c r="A59" s="54" t="s">
        <v>348</v>
      </c>
      <c r="B59" s="54" t="str">
        <f aca="false">IFERROR(INDEX(ExPrimary,MATCH($A59,ExName,0)),"")</f>
        <v>Shoulders</v>
      </c>
      <c r="C59" s="53" t="str">
        <f aca="false">IF(N(INDEX(Ex1RM,MATCH($A59,ExName,0)))=0,"",INDEX(Ex1RM,MATCH($A59,ExName,0)))</f>
        <v/>
      </c>
      <c r="D59" s="53" t="str">
        <f aca="false">IF($F59=0,"",_xlfn.MAXIFS('Training Log'!$I$5:$I$301,'Training Log'!$C$5:$C$301,$A59))</f>
        <v/>
      </c>
      <c r="E59" s="53" t="str">
        <f aca="false">IF($F59=0,"",_xlfn.MAXIFS('Training Log'!$E$5:$E$301,'Training Log'!$C$5:$C$301,$A59))</f>
        <v/>
      </c>
      <c r="F59" s="48" t="n">
        <f aca="false">COUNTIFS('Training Log'!$C$5:$C$301,$A59)</f>
        <v>0</v>
      </c>
      <c r="G59" s="53" t="str">
        <f aca="false">IF($F59=0,"",SUMIFS('Training Log'!$H$5:$H$301,'Training Log'!$C$5:$C$301,$A59))</f>
        <v/>
      </c>
      <c r="H59" s="55" t="str">
        <f aca="false">IF($F59=0,"",_xlfn.MAXIFS('Training Log'!$A$5:$A$301,'Training Log'!$C$5:$C$301,$A59))</f>
        <v/>
      </c>
    </row>
    <row r="60" customFormat="false" ht="15" hidden="false" customHeight="false" outlineLevel="0" collapsed="false">
      <c r="A60" s="54" t="s">
        <v>525</v>
      </c>
      <c r="B60" s="54" t="str">
        <f aca="false">IFERROR(INDEX(ExPrimary,MATCH($A60,ExName,0)),"")</f>
        <v>Traps</v>
      </c>
      <c r="C60" s="53" t="str">
        <f aca="false">IF(N(INDEX(Ex1RM,MATCH($A60,ExName,0)))=0,"",INDEX(Ex1RM,MATCH($A60,ExName,0)))</f>
        <v/>
      </c>
      <c r="D60" s="53" t="str">
        <f aca="false">IF($F60=0,"",_xlfn.MAXIFS('Training Log'!$I$5:$I$301,'Training Log'!$C$5:$C$301,$A60))</f>
        <v/>
      </c>
      <c r="E60" s="53" t="str">
        <f aca="false">IF($F60=0,"",_xlfn.MAXIFS('Training Log'!$E$5:$E$301,'Training Log'!$C$5:$C$301,$A60))</f>
        <v/>
      </c>
      <c r="F60" s="48" t="n">
        <f aca="false">COUNTIFS('Training Log'!$C$5:$C$301,$A60)</f>
        <v>0</v>
      </c>
      <c r="G60" s="53" t="str">
        <f aca="false">IF($F60=0,"",SUMIFS('Training Log'!$H$5:$H$301,'Training Log'!$C$5:$C$301,$A60))</f>
        <v/>
      </c>
      <c r="H60" s="55" t="str">
        <f aca="false">IF($F60=0,"",_xlfn.MAXIFS('Training Log'!$A$5:$A$301,'Training Log'!$C$5:$C$301,$A60))</f>
        <v/>
      </c>
    </row>
    <row r="61" customFormat="false" ht="15" hidden="false" customHeight="false" outlineLevel="0" collapsed="false">
      <c r="A61" s="54" t="s">
        <v>230</v>
      </c>
      <c r="B61" s="54" t="str">
        <f aca="false">IFERROR(INDEX(ExPrimary,MATCH($A61,ExName,0)),"")</f>
        <v>Chest</v>
      </c>
      <c r="C61" s="53" t="str">
        <f aca="false">IF(N(INDEX(Ex1RM,MATCH($A61,ExName,0)))=0,"",INDEX(Ex1RM,MATCH($A61,ExName,0)))</f>
        <v/>
      </c>
      <c r="D61" s="53" t="str">
        <f aca="false">IF($F61=0,"",_xlfn.MAXIFS('Training Log'!$I$5:$I$301,'Training Log'!$C$5:$C$301,$A61))</f>
        <v/>
      </c>
      <c r="E61" s="53" t="str">
        <f aca="false">IF($F61=0,"",_xlfn.MAXIFS('Training Log'!$E$5:$E$301,'Training Log'!$C$5:$C$301,$A61))</f>
        <v/>
      </c>
      <c r="F61" s="48" t="n">
        <f aca="false">COUNTIFS('Training Log'!$C$5:$C$301,$A61)</f>
        <v>0</v>
      </c>
      <c r="G61" s="53" t="str">
        <f aca="false">IF($F61=0,"",SUMIFS('Training Log'!$H$5:$H$301,'Training Log'!$C$5:$C$301,$A61))</f>
        <v/>
      </c>
      <c r="H61" s="55" t="str">
        <f aca="false">IF($F61=0,"",_xlfn.MAXIFS('Training Log'!$A$5:$A$301,'Training Log'!$C$5:$C$301,$A61))</f>
        <v/>
      </c>
    </row>
    <row r="62" customFormat="false" ht="15" hidden="false" customHeight="false" outlineLevel="0" collapsed="false">
      <c r="A62" s="54" t="s">
        <v>534</v>
      </c>
      <c r="B62" s="54" t="str">
        <f aca="false">IFERROR(INDEX(ExPrimary,MATCH($A62,ExName,0)),"")</f>
        <v>Core</v>
      </c>
      <c r="C62" s="53" t="str">
        <f aca="false">IF(N(INDEX(Ex1RM,MATCH($A62,ExName,0)))=0,"",INDEX(Ex1RM,MATCH($A62,ExName,0)))</f>
        <v/>
      </c>
      <c r="D62" s="53" t="str">
        <f aca="false">IF($F62=0,"",_xlfn.MAXIFS('Training Log'!$I$5:$I$301,'Training Log'!$C$5:$C$301,$A62))</f>
        <v/>
      </c>
      <c r="E62" s="53" t="str">
        <f aca="false">IF($F62=0,"",_xlfn.MAXIFS('Training Log'!$E$5:$E$301,'Training Log'!$C$5:$C$301,$A62))</f>
        <v/>
      </c>
      <c r="F62" s="48" t="n">
        <f aca="false">COUNTIFS('Training Log'!$C$5:$C$301,$A62)</f>
        <v>0</v>
      </c>
      <c r="G62" s="53" t="str">
        <f aca="false">IF($F62=0,"",SUMIFS('Training Log'!$H$5:$H$301,'Training Log'!$C$5:$C$301,$A62))</f>
        <v/>
      </c>
      <c r="H62" s="55" t="str">
        <f aca="false">IF($F62=0,"",_xlfn.MAXIFS('Training Log'!$A$5:$A$301,'Training Log'!$C$5:$C$301,$A62))</f>
        <v/>
      </c>
    </row>
    <row r="63" customFormat="false" ht="15" hidden="false" customHeight="false" outlineLevel="0" collapsed="false">
      <c r="A63" s="54" t="s">
        <v>598</v>
      </c>
      <c r="B63" s="54" t="str">
        <f aca="false">IFERROR(INDEX(ExPrimary,MATCH($A63,ExName,0)),"")</f>
        <v>Shoulders</v>
      </c>
      <c r="C63" s="53" t="str">
        <f aca="false">IF(N(INDEX(Ex1RM,MATCH($A63,ExName,0)))=0,"",INDEX(Ex1RM,MATCH($A63,ExName,0)))</f>
        <v/>
      </c>
      <c r="D63" s="53" t="str">
        <f aca="false">IF($F63=0,"",_xlfn.MAXIFS('Training Log'!$I$5:$I$301,'Training Log'!$C$5:$C$301,$A63))</f>
        <v/>
      </c>
      <c r="E63" s="53" t="str">
        <f aca="false">IF($F63=0,"",_xlfn.MAXIFS('Training Log'!$E$5:$E$301,'Training Log'!$C$5:$C$301,$A63))</f>
        <v/>
      </c>
      <c r="F63" s="48" t="n">
        <f aca="false">COUNTIFS('Training Log'!$C$5:$C$301,$A63)</f>
        <v>0</v>
      </c>
      <c r="G63" s="53" t="str">
        <f aca="false">IF($F63=0,"",SUMIFS('Training Log'!$H$5:$H$301,'Training Log'!$C$5:$C$301,$A63))</f>
        <v/>
      </c>
      <c r="H63" s="55" t="str">
        <f aca="false">IF($F63=0,"",_xlfn.MAXIFS('Training Log'!$A$5:$A$301,'Training Log'!$C$5:$C$301,$A63))</f>
        <v/>
      </c>
    </row>
    <row r="64" customFormat="false" ht="15" hidden="false" customHeight="false" outlineLevel="0" collapsed="false">
      <c r="A64" s="54" t="s">
        <v>69</v>
      </c>
      <c r="B64" s="54" t="str">
        <f aca="false">IFERROR(INDEX(ExPrimary,MATCH($A64,ExName,0)),"")</f>
        <v>Quads</v>
      </c>
      <c r="C64" s="53" t="str">
        <f aca="false">IF(N(INDEX(Ex1RM,MATCH($A64,ExName,0)))=0,"",INDEX(Ex1RM,MATCH($A64,ExName,0)))</f>
        <v/>
      </c>
      <c r="D64" s="53" t="str">
        <f aca="false">IF($F64=0,"",_xlfn.MAXIFS('Training Log'!$I$5:$I$301,'Training Log'!$C$5:$C$301,$A64))</f>
        <v/>
      </c>
      <c r="E64" s="53" t="str">
        <f aca="false">IF($F64=0,"",_xlfn.MAXIFS('Training Log'!$E$5:$E$301,'Training Log'!$C$5:$C$301,$A64))</f>
        <v/>
      </c>
      <c r="F64" s="48" t="n">
        <f aca="false">COUNTIFS('Training Log'!$C$5:$C$301,$A64)</f>
        <v>0</v>
      </c>
      <c r="G64" s="53" t="str">
        <f aca="false">IF($F64=0,"",SUMIFS('Training Log'!$H$5:$H$301,'Training Log'!$C$5:$C$301,$A64))</f>
        <v/>
      </c>
      <c r="H64" s="55" t="str">
        <f aca="false">IF($F64=0,"",_xlfn.MAXIFS('Training Log'!$A$5:$A$301,'Training Log'!$C$5:$C$301,$A64))</f>
        <v/>
      </c>
    </row>
    <row r="65" customFormat="false" ht="15" hidden="false" customHeight="false" outlineLevel="0" collapsed="false">
      <c r="A65" s="54" t="s">
        <v>156</v>
      </c>
      <c r="B65" s="54" t="str">
        <f aca="false">IFERROR(INDEX(ExPrimary,MATCH($A65,ExName,0)),"")</f>
        <v>Glutes</v>
      </c>
      <c r="C65" s="53" t="str">
        <f aca="false">IF(N(INDEX(Ex1RM,MATCH($A65,ExName,0)))=0,"",INDEX(Ex1RM,MATCH($A65,ExName,0)))</f>
        <v/>
      </c>
      <c r="D65" s="53" t="str">
        <f aca="false">IF($F65=0,"",_xlfn.MAXIFS('Training Log'!$I$5:$I$301,'Training Log'!$C$5:$C$301,$A65))</f>
        <v/>
      </c>
      <c r="E65" s="53" t="str">
        <f aca="false">IF($F65=0,"",_xlfn.MAXIFS('Training Log'!$E$5:$E$301,'Training Log'!$C$5:$C$301,$A65))</f>
        <v/>
      </c>
      <c r="F65" s="48" t="n">
        <f aca="false">COUNTIFS('Training Log'!$C$5:$C$301,$A65)</f>
        <v>0</v>
      </c>
      <c r="G65" s="53" t="str">
        <f aca="false">IF($F65=0,"",SUMIFS('Training Log'!$H$5:$H$301,'Training Log'!$C$5:$C$301,$A65))</f>
        <v/>
      </c>
      <c r="H65" s="55" t="str">
        <f aca="false">IF($F65=0,"",_xlfn.MAXIFS('Training Log'!$A$5:$A$301,'Training Log'!$C$5:$C$301,$A65))</f>
        <v/>
      </c>
    </row>
    <row r="66" customFormat="false" ht="15" hidden="false" customHeight="false" outlineLevel="0" collapsed="false">
      <c r="A66" s="54" t="s">
        <v>94</v>
      </c>
      <c r="B66" s="54" t="str">
        <f aca="false">IFERROR(INDEX(ExPrimary,MATCH($A66,ExName,0)),"")</f>
        <v>Quads</v>
      </c>
      <c r="C66" s="53" t="str">
        <f aca="false">IF(N(INDEX(Ex1RM,MATCH($A66,ExName,0)))=0,"",INDEX(Ex1RM,MATCH($A66,ExName,0)))</f>
        <v/>
      </c>
      <c r="D66" s="53" t="str">
        <f aca="false">IF($F66=0,"",_xlfn.MAXIFS('Training Log'!$I$5:$I$301,'Training Log'!$C$5:$C$301,$A66))</f>
        <v/>
      </c>
      <c r="E66" s="53" t="str">
        <f aca="false">IF($F66=0,"",_xlfn.MAXIFS('Training Log'!$E$5:$E$301,'Training Log'!$C$5:$C$301,$A66))</f>
        <v/>
      </c>
      <c r="F66" s="48" t="n">
        <f aca="false">COUNTIFS('Training Log'!$C$5:$C$301,$A66)</f>
        <v>0</v>
      </c>
      <c r="G66" s="53" t="str">
        <f aca="false">IF($F66=0,"",SUMIFS('Training Log'!$H$5:$H$301,'Training Log'!$C$5:$C$301,$A66))</f>
        <v/>
      </c>
      <c r="H66" s="55" t="str">
        <f aca="false">IF($F66=0,"",_xlfn.MAXIFS('Training Log'!$A$5:$A$301,'Training Log'!$C$5:$C$301,$A66))</f>
        <v/>
      </c>
    </row>
    <row r="67" customFormat="false" ht="15" hidden="false" customHeight="false" outlineLevel="0" collapsed="false">
      <c r="A67" s="54" t="s">
        <v>149</v>
      </c>
      <c r="B67" s="54" t="str">
        <f aca="false">IFERROR(INDEX(ExPrimary,MATCH($A67,ExName,0)),"")</f>
        <v>Hamstrings</v>
      </c>
      <c r="C67" s="53" t="str">
        <f aca="false">IF(N(INDEX(Ex1RM,MATCH($A67,ExName,0)))=0,"",INDEX(Ex1RM,MATCH($A67,ExName,0)))</f>
        <v/>
      </c>
      <c r="D67" s="53" t="str">
        <f aca="false">IF($F67=0,"",_xlfn.MAXIFS('Training Log'!$I$5:$I$301,'Training Log'!$C$5:$C$301,$A67))</f>
        <v/>
      </c>
      <c r="E67" s="53" t="str">
        <f aca="false">IF($F67=0,"",_xlfn.MAXIFS('Training Log'!$E$5:$E$301,'Training Log'!$C$5:$C$301,$A67))</f>
        <v/>
      </c>
      <c r="F67" s="48" t="n">
        <f aca="false">COUNTIFS('Training Log'!$C$5:$C$301,$A67)</f>
        <v>0</v>
      </c>
      <c r="G67" s="53" t="str">
        <f aca="false">IF($F67=0,"",SUMIFS('Training Log'!$H$5:$H$301,'Training Log'!$C$5:$C$301,$A67))</f>
        <v/>
      </c>
      <c r="H67" s="55" t="str">
        <f aca="false">IF($F67=0,"",_xlfn.MAXIFS('Training Log'!$A$5:$A$301,'Training Log'!$C$5:$C$301,$A67))</f>
        <v/>
      </c>
    </row>
    <row r="68" customFormat="false" ht="15" hidden="false" customHeight="false" outlineLevel="0" collapsed="false">
      <c r="A68" s="54" t="s">
        <v>98</v>
      </c>
      <c r="B68" s="54" t="str">
        <f aca="false">IFERROR(INDEX(ExPrimary,MATCH($A68,ExName,0)),"")</f>
        <v>Quads</v>
      </c>
      <c r="C68" s="53" t="str">
        <f aca="false">IF(N(INDEX(Ex1RM,MATCH($A68,ExName,0)))=0,"",INDEX(Ex1RM,MATCH($A68,ExName,0)))</f>
        <v/>
      </c>
      <c r="D68" s="53" t="str">
        <f aca="false">IF($F68=0,"",_xlfn.MAXIFS('Training Log'!$I$5:$I$301,'Training Log'!$C$5:$C$301,$A68))</f>
        <v/>
      </c>
      <c r="E68" s="53" t="str">
        <f aca="false">IF($F68=0,"",_xlfn.MAXIFS('Training Log'!$E$5:$E$301,'Training Log'!$C$5:$C$301,$A68))</f>
        <v/>
      </c>
      <c r="F68" s="48" t="n">
        <f aca="false">COUNTIFS('Training Log'!$C$5:$C$301,$A68)</f>
        <v>0</v>
      </c>
      <c r="G68" s="53" t="str">
        <f aca="false">IF($F68=0,"",SUMIFS('Training Log'!$H$5:$H$301,'Training Log'!$C$5:$C$301,$A68))</f>
        <v/>
      </c>
      <c r="H68" s="55" t="str">
        <f aca="false">IF($F68=0,"",_xlfn.MAXIFS('Training Log'!$A$5:$A$301,'Training Log'!$C$5:$C$301,$A68))</f>
        <v/>
      </c>
    </row>
    <row r="69" customFormat="false" ht="15" hidden="false" customHeight="false" outlineLevel="0" collapsed="false">
      <c r="A69" s="54" t="s">
        <v>559</v>
      </c>
      <c r="B69" s="54" t="str">
        <f aca="false">IFERROR(INDEX(ExPrimary,MATCH($A69,ExName,0)),"")</f>
        <v>Biceps</v>
      </c>
      <c r="C69" s="53" t="str">
        <f aca="false">IF(N(INDEX(Ex1RM,MATCH($A69,ExName,0)))=0,"",INDEX(Ex1RM,MATCH($A69,ExName,0)))</f>
        <v/>
      </c>
      <c r="D69" s="53" t="str">
        <f aca="false">IF($F69=0,"",_xlfn.MAXIFS('Training Log'!$I$5:$I$301,'Training Log'!$C$5:$C$301,$A69))</f>
        <v/>
      </c>
      <c r="E69" s="53" t="str">
        <f aca="false">IF($F69=0,"",_xlfn.MAXIFS('Training Log'!$E$5:$E$301,'Training Log'!$C$5:$C$301,$A69))</f>
        <v/>
      </c>
      <c r="F69" s="48" t="n">
        <f aca="false">COUNTIFS('Training Log'!$C$5:$C$301,$A69)</f>
        <v>0</v>
      </c>
      <c r="G69" s="53" t="str">
        <f aca="false">IF($F69=0,"",SUMIFS('Training Log'!$H$5:$H$301,'Training Log'!$C$5:$C$301,$A69))</f>
        <v/>
      </c>
      <c r="H69" s="55" t="str">
        <f aca="false">IF($F69=0,"",_xlfn.MAXIFS('Training Log'!$A$5:$A$301,'Training Log'!$C$5:$C$301,$A69))</f>
        <v/>
      </c>
    </row>
    <row r="70" customFormat="false" ht="15" hidden="false" customHeight="false" outlineLevel="0" collapsed="false">
      <c r="A70" s="54" t="s">
        <v>307</v>
      </c>
      <c r="B70" s="54" t="str">
        <f aca="false">IFERROR(INDEX(ExPrimary,MATCH($A70,ExName,0)),"")</f>
        <v>Shoulders</v>
      </c>
      <c r="C70" s="53" t="str">
        <f aca="false">IF(N(INDEX(Ex1RM,MATCH($A70,ExName,0)))=0,"",INDEX(Ex1RM,MATCH($A70,ExName,0)))</f>
        <v/>
      </c>
      <c r="D70" s="53" t="str">
        <f aca="false">IF($F70=0,"",_xlfn.MAXIFS('Training Log'!$I$5:$I$301,'Training Log'!$C$5:$C$301,$A70))</f>
        <v/>
      </c>
      <c r="E70" s="53" t="str">
        <f aca="false">IF($F70=0,"",_xlfn.MAXIFS('Training Log'!$E$5:$E$301,'Training Log'!$C$5:$C$301,$A70))</f>
        <v/>
      </c>
      <c r="F70" s="48" t="n">
        <f aca="false">COUNTIFS('Training Log'!$C$5:$C$301,$A70)</f>
        <v>0</v>
      </c>
      <c r="G70" s="53" t="str">
        <f aca="false">IF($F70=0,"",SUMIFS('Training Log'!$H$5:$H$301,'Training Log'!$C$5:$C$301,$A70))</f>
        <v/>
      </c>
      <c r="H70" s="55" t="str">
        <f aca="false">IF($F70=0,"",_xlfn.MAXIFS('Training Log'!$A$5:$A$301,'Training Log'!$C$5:$C$301,$A70))</f>
        <v/>
      </c>
    </row>
    <row r="71" customFormat="false" ht="15" hidden="false" customHeight="false" outlineLevel="0" collapsed="false">
      <c r="A71" s="54" t="s">
        <v>393</v>
      </c>
      <c r="B71" s="54" t="str">
        <f aca="false">IFERROR(INDEX(ExPrimary,MATCH($A71,ExName,0)),"")</f>
        <v>Full body</v>
      </c>
      <c r="C71" s="53" t="str">
        <f aca="false">IF(N(INDEX(Ex1RM,MATCH($A71,ExName,0)))=0,"",INDEX(Ex1RM,MATCH($A71,ExName,0)))</f>
        <v/>
      </c>
      <c r="D71" s="53" t="str">
        <f aca="false">IF($F71=0,"",_xlfn.MAXIFS('Training Log'!$I$5:$I$301,'Training Log'!$C$5:$C$301,$A71))</f>
        <v/>
      </c>
      <c r="E71" s="53" t="str">
        <f aca="false">IF($F71=0,"",_xlfn.MAXIFS('Training Log'!$E$5:$E$301,'Training Log'!$C$5:$C$301,$A71))</f>
        <v/>
      </c>
      <c r="F71" s="48" t="n">
        <f aca="false">COUNTIFS('Training Log'!$C$5:$C$301,$A71)</f>
        <v>0</v>
      </c>
      <c r="G71" s="53" t="str">
        <f aca="false">IF($F71=0,"",SUMIFS('Training Log'!$H$5:$H$301,'Training Log'!$C$5:$C$301,$A71))</f>
        <v/>
      </c>
      <c r="H71" s="55" t="str">
        <f aca="false">IF($F71=0,"",_xlfn.MAXIFS('Training Log'!$A$5:$A$301,'Training Log'!$C$5:$C$301,$A71))</f>
        <v/>
      </c>
    </row>
    <row r="72" customFormat="false" ht="15" hidden="false" customHeight="false" outlineLevel="0" collapsed="false">
      <c r="A72" s="54" t="s">
        <v>405</v>
      </c>
      <c r="B72" s="54" t="str">
        <f aca="false">IFERROR(INDEX(ExPrimary,MATCH($A72,ExName,0)),"")</f>
        <v>Full body</v>
      </c>
      <c r="C72" s="53" t="str">
        <f aca="false">IF(N(INDEX(Ex1RM,MATCH($A72,ExName,0)))=0,"",INDEX(Ex1RM,MATCH($A72,ExName,0)))</f>
        <v/>
      </c>
      <c r="D72" s="53" t="str">
        <f aca="false">IF($F72=0,"",_xlfn.MAXIFS('Training Log'!$I$5:$I$301,'Training Log'!$C$5:$C$301,$A72))</f>
        <v/>
      </c>
      <c r="E72" s="53" t="str">
        <f aca="false">IF($F72=0,"",_xlfn.MAXIFS('Training Log'!$E$5:$E$301,'Training Log'!$C$5:$C$301,$A72))</f>
        <v/>
      </c>
      <c r="F72" s="48" t="n">
        <f aca="false">COUNTIFS('Training Log'!$C$5:$C$301,$A72)</f>
        <v>0</v>
      </c>
      <c r="G72" s="53" t="str">
        <f aca="false">IF($F72=0,"",SUMIFS('Training Log'!$H$5:$H$301,'Training Log'!$C$5:$C$301,$A72))</f>
        <v/>
      </c>
      <c r="H72" s="55" t="str">
        <f aca="false">IF($F72=0,"",_xlfn.MAXIFS('Training Log'!$A$5:$A$301,'Training Log'!$C$5:$C$301,$A72))</f>
        <v/>
      </c>
    </row>
    <row r="73" customFormat="false" ht="15" hidden="false" customHeight="false" outlineLevel="0" collapsed="false">
      <c r="A73" s="54" t="s">
        <v>487</v>
      </c>
      <c r="B73" s="54" t="str">
        <f aca="false">IFERROR(INDEX(ExPrimary,MATCH($A73,ExName,0)),"")</f>
        <v>Core</v>
      </c>
      <c r="C73" s="53" t="str">
        <f aca="false">IF(N(INDEX(Ex1RM,MATCH($A73,ExName,0)))=0,"",INDEX(Ex1RM,MATCH($A73,ExName,0)))</f>
        <v/>
      </c>
      <c r="D73" s="53" t="str">
        <f aca="false">IF($F73=0,"",_xlfn.MAXIFS('Training Log'!$I$5:$I$301,'Training Log'!$C$5:$C$301,$A73))</f>
        <v/>
      </c>
      <c r="E73" s="53" t="str">
        <f aca="false">IF($F73=0,"",_xlfn.MAXIFS('Training Log'!$E$5:$E$301,'Training Log'!$C$5:$C$301,$A73))</f>
        <v/>
      </c>
      <c r="F73" s="48" t="n">
        <f aca="false">COUNTIFS('Training Log'!$C$5:$C$301,$A73)</f>
        <v>0</v>
      </c>
      <c r="G73" s="53" t="str">
        <f aca="false">IF($F73=0,"",SUMIFS('Training Log'!$H$5:$H$301,'Training Log'!$C$5:$C$301,$A73))</f>
        <v/>
      </c>
      <c r="H73" s="55" t="str">
        <f aca="false">IF($F73=0,"",_xlfn.MAXIFS('Training Log'!$A$5:$A$301,'Training Log'!$C$5:$C$301,$A73))</f>
        <v/>
      </c>
    </row>
    <row r="74" customFormat="false" ht="15" hidden="false" customHeight="false" outlineLevel="0" collapsed="false">
      <c r="A74" s="54" t="s">
        <v>415</v>
      </c>
      <c r="B74" s="54" t="str">
        <f aca="false">IFERROR(INDEX(ExPrimary,MATCH($A74,ExName,0)),"")</f>
        <v>Traps</v>
      </c>
      <c r="C74" s="53" t="str">
        <f aca="false">IF(N(INDEX(Ex1RM,MATCH($A74,ExName,0)))=0,"",INDEX(Ex1RM,MATCH($A74,ExName,0)))</f>
        <v/>
      </c>
      <c r="D74" s="53" t="str">
        <f aca="false">IF($F74=0,"",_xlfn.MAXIFS('Training Log'!$I$5:$I$301,'Training Log'!$C$5:$C$301,$A74))</f>
        <v/>
      </c>
      <c r="E74" s="53" t="str">
        <f aca="false">IF($F74=0,"",_xlfn.MAXIFS('Training Log'!$E$5:$E$301,'Training Log'!$C$5:$C$301,$A74))</f>
        <v/>
      </c>
      <c r="F74" s="48" t="n">
        <f aca="false">COUNTIFS('Training Log'!$C$5:$C$301,$A74)</f>
        <v>0</v>
      </c>
      <c r="G74" s="53" t="str">
        <f aca="false">IF($F74=0,"",SUMIFS('Training Log'!$H$5:$H$301,'Training Log'!$C$5:$C$301,$A74))</f>
        <v/>
      </c>
      <c r="H74" s="55" t="str">
        <f aca="false">IF($F74=0,"",_xlfn.MAXIFS('Training Log'!$A$5:$A$301,'Training Log'!$C$5:$C$301,$A74))</f>
        <v/>
      </c>
    </row>
    <row r="75" customFormat="false" ht="15" hidden="false" customHeight="false" outlineLevel="0" collapsed="false">
      <c r="A75" s="54" t="s">
        <v>632</v>
      </c>
      <c r="B75" s="54" t="str">
        <f aca="false">IFERROR(INDEX(ExPrimary,MATCH($A75,ExName,0)),"")</f>
        <v>Glutes</v>
      </c>
      <c r="C75" s="53" t="str">
        <f aca="false">IF(N(INDEX(Ex1RM,MATCH($A75,ExName,0)))=0,"",INDEX(Ex1RM,MATCH($A75,ExName,0)))</f>
        <v/>
      </c>
      <c r="D75" s="53" t="str">
        <f aca="false">IF($F75=0,"",_xlfn.MAXIFS('Training Log'!$I$5:$I$301,'Training Log'!$C$5:$C$301,$A75))</f>
        <v/>
      </c>
      <c r="E75" s="53" t="str">
        <f aca="false">IF($F75=0,"",_xlfn.MAXIFS('Training Log'!$E$5:$E$301,'Training Log'!$C$5:$C$301,$A75))</f>
        <v/>
      </c>
      <c r="F75" s="48" t="n">
        <f aca="false">COUNTIFS('Training Log'!$C$5:$C$301,$A75)</f>
        <v>0</v>
      </c>
      <c r="G75" s="53" t="str">
        <f aca="false">IF($F75=0,"",SUMIFS('Training Log'!$H$5:$H$301,'Training Log'!$C$5:$C$301,$A75))</f>
        <v/>
      </c>
      <c r="H75" s="55" t="str">
        <f aca="false">IF($F75=0,"",_xlfn.MAXIFS('Training Log'!$A$5:$A$301,'Training Log'!$C$5:$C$301,$A75))</f>
        <v/>
      </c>
    </row>
    <row r="76" customFormat="false" ht="15" hidden="false" customHeight="false" outlineLevel="0" collapsed="false">
      <c r="A76" s="54" t="s">
        <v>635</v>
      </c>
      <c r="B76" s="54" t="str">
        <f aca="false">IFERROR(INDEX(ExPrimary,MATCH($A76,ExName,0)),"")</f>
        <v>Adductors</v>
      </c>
      <c r="C76" s="53" t="str">
        <f aca="false">IF(N(INDEX(Ex1RM,MATCH($A76,ExName,0)))=0,"",INDEX(Ex1RM,MATCH($A76,ExName,0)))</f>
        <v/>
      </c>
      <c r="D76" s="53" t="str">
        <f aca="false">IF($F76=0,"",_xlfn.MAXIFS('Training Log'!$I$5:$I$301,'Training Log'!$C$5:$C$301,$A76))</f>
        <v/>
      </c>
      <c r="E76" s="53" t="str">
        <f aca="false">IF($F76=0,"",_xlfn.MAXIFS('Training Log'!$E$5:$E$301,'Training Log'!$C$5:$C$301,$A76))</f>
        <v/>
      </c>
      <c r="F76" s="48" t="n">
        <f aca="false">COUNTIFS('Training Log'!$C$5:$C$301,$A76)</f>
        <v>0</v>
      </c>
      <c r="G76" s="53" t="str">
        <f aca="false">IF($F76=0,"",SUMIFS('Training Log'!$H$5:$H$301,'Training Log'!$C$5:$C$301,$A76))</f>
        <v/>
      </c>
      <c r="H76" s="55" t="str">
        <f aca="false">IF($F76=0,"",_xlfn.MAXIFS('Training Log'!$A$5:$A$301,'Training Log'!$C$5:$C$301,$A76))</f>
        <v/>
      </c>
    </row>
    <row r="77" customFormat="false" ht="15" hidden="false" customHeight="false" outlineLevel="0" collapsed="false">
      <c r="A77" s="54" t="s">
        <v>503</v>
      </c>
      <c r="B77" s="54" t="str">
        <f aca="false">IFERROR(INDEX(ExPrimary,MATCH($A77,ExName,0)),"")</f>
        <v>Core</v>
      </c>
      <c r="C77" s="53" t="str">
        <f aca="false">IF(N(INDEX(Ex1RM,MATCH($A77,ExName,0)))=0,"",INDEX(Ex1RM,MATCH($A77,ExName,0)))</f>
        <v/>
      </c>
      <c r="D77" s="53" t="str">
        <f aca="false">IF($F77=0,"",_xlfn.MAXIFS('Training Log'!$I$5:$I$301,'Training Log'!$C$5:$C$301,$A77))</f>
        <v/>
      </c>
      <c r="E77" s="53" t="str">
        <f aca="false">IF($F77=0,"",_xlfn.MAXIFS('Training Log'!$E$5:$E$301,'Training Log'!$C$5:$C$301,$A77))</f>
        <v/>
      </c>
      <c r="F77" s="48" t="n">
        <f aca="false">COUNTIFS('Training Log'!$C$5:$C$301,$A77)</f>
        <v>0</v>
      </c>
      <c r="G77" s="53" t="str">
        <f aca="false">IF($F77=0,"",SUMIFS('Training Log'!$H$5:$H$301,'Training Log'!$C$5:$C$301,$A77))</f>
        <v/>
      </c>
      <c r="H77" s="55" t="str">
        <f aca="false">IF($F77=0,"",_xlfn.MAXIFS('Training Log'!$A$5:$A$301,'Training Log'!$C$5:$C$301,$A77))</f>
        <v/>
      </c>
    </row>
    <row r="78" customFormat="false" ht="15" hidden="false" customHeight="false" outlineLevel="0" collapsed="false">
      <c r="A78" s="54" t="s">
        <v>218</v>
      </c>
      <c r="B78" s="54" t="str">
        <f aca="false">IFERROR(INDEX(ExPrimary,MATCH($A78,ExName,0)),"")</f>
        <v>Chest</v>
      </c>
      <c r="C78" s="53" t="str">
        <f aca="false">IF(N(INDEX(Ex1RM,MATCH($A78,ExName,0)))=0,"",INDEX(Ex1RM,MATCH($A78,ExName,0)))</f>
        <v/>
      </c>
      <c r="D78" s="53" t="str">
        <f aca="false">IF($F78=0,"",_xlfn.MAXIFS('Training Log'!$I$5:$I$301,'Training Log'!$C$5:$C$301,$A78))</f>
        <v/>
      </c>
      <c r="E78" s="53" t="str">
        <f aca="false">IF($F78=0,"",_xlfn.MAXIFS('Training Log'!$E$5:$E$301,'Training Log'!$C$5:$C$301,$A78))</f>
        <v/>
      </c>
      <c r="F78" s="48" t="n">
        <f aca="false">COUNTIFS('Training Log'!$C$5:$C$301,$A78)</f>
        <v>0</v>
      </c>
      <c r="G78" s="53" t="str">
        <f aca="false">IF($F78=0,"",SUMIFS('Training Log'!$H$5:$H$301,'Training Log'!$C$5:$C$301,$A78))</f>
        <v/>
      </c>
      <c r="H78" s="55" t="str">
        <f aca="false">IF($F78=0,"",_xlfn.MAXIFS('Training Log'!$A$5:$A$301,'Training Log'!$C$5:$C$301,$A78))</f>
        <v/>
      </c>
    </row>
    <row r="79" customFormat="false" ht="15" hidden="false" customHeight="false" outlineLevel="0" collapsed="false">
      <c r="A79" s="54" t="s">
        <v>568</v>
      </c>
      <c r="B79" s="54" t="str">
        <f aca="false">IFERROR(INDEX(ExPrimary,MATCH($A79,ExName,0)),"")</f>
        <v>Biceps</v>
      </c>
      <c r="C79" s="53" t="str">
        <f aca="false">IF(N(INDEX(Ex1RM,MATCH($A79,ExName,0)))=0,"",INDEX(Ex1RM,MATCH($A79,ExName,0)))</f>
        <v/>
      </c>
      <c r="D79" s="53" t="str">
        <f aca="false">IF($F79=0,"",_xlfn.MAXIFS('Training Log'!$I$5:$I$301,'Training Log'!$C$5:$C$301,$A79))</f>
        <v/>
      </c>
      <c r="E79" s="53" t="str">
        <f aca="false">IF($F79=0,"",_xlfn.MAXIFS('Training Log'!$E$5:$E$301,'Training Log'!$C$5:$C$301,$A79))</f>
        <v/>
      </c>
      <c r="F79" s="48" t="n">
        <f aca="false">COUNTIFS('Training Log'!$C$5:$C$301,$A79)</f>
        <v>0</v>
      </c>
      <c r="G79" s="53" t="str">
        <f aca="false">IF($F79=0,"",SUMIFS('Training Log'!$H$5:$H$301,'Training Log'!$C$5:$C$301,$A79))</f>
        <v/>
      </c>
      <c r="H79" s="55" t="str">
        <f aca="false">IF($F79=0,"",_xlfn.MAXIFS('Training Log'!$A$5:$A$301,'Training Log'!$C$5:$C$301,$A79))</f>
        <v/>
      </c>
    </row>
    <row r="80" customFormat="false" ht="15" hidden="false" customHeight="false" outlineLevel="0" collapsed="false">
      <c r="A80" s="54" t="s">
        <v>239</v>
      </c>
      <c r="B80" s="54" t="str">
        <f aca="false">IFERROR(INDEX(ExPrimary,MATCH($A80,ExName,0)),"")</f>
        <v>Chest</v>
      </c>
      <c r="C80" s="53" t="str">
        <f aca="false">IF(N(INDEX(Ex1RM,MATCH($A80,ExName,0)))=0,"",INDEX(Ex1RM,MATCH($A80,ExName,0)))</f>
        <v/>
      </c>
      <c r="D80" s="53" t="str">
        <f aca="false">IF($F80=0,"",_xlfn.MAXIFS('Training Log'!$I$5:$I$301,'Training Log'!$C$5:$C$301,$A80))</f>
        <v/>
      </c>
      <c r="E80" s="53" t="str">
        <f aca="false">IF($F80=0,"",_xlfn.MAXIFS('Training Log'!$E$5:$E$301,'Training Log'!$C$5:$C$301,$A80))</f>
        <v/>
      </c>
      <c r="F80" s="48" t="n">
        <f aca="false">COUNTIFS('Training Log'!$C$5:$C$301,$A80)</f>
        <v>0</v>
      </c>
      <c r="G80" s="53" t="str">
        <f aca="false">IF($F80=0,"",SUMIFS('Training Log'!$H$5:$H$301,'Training Log'!$C$5:$C$301,$A80))</f>
        <v/>
      </c>
      <c r="H80" s="55" t="str">
        <f aca="false">IF($F80=0,"",_xlfn.MAXIFS('Training Log'!$A$5:$A$301,'Training Log'!$C$5:$C$301,$A80))</f>
        <v/>
      </c>
    </row>
    <row r="81" customFormat="false" ht="15" hidden="false" customHeight="false" outlineLevel="0" collapsed="false">
      <c r="A81" s="54" t="s">
        <v>338</v>
      </c>
      <c r="B81" s="54" t="str">
        <f aca="false">IFERROR(INDEX(ExPrimary,MATCH($A81,ExName,0)),"")</f>
        <v>Back</v>
      </c>
      <c r="C81" s="53" t="str">
        <f aca="false">IF(N(INDEX(Ex1RM,MATCH($A81,ExName,0)))=0,"",INDEX(Ex1RM,MATCH($A81,ExName,0)))</f>
        <v/>
      </c>
      <c r="D81" s="53" t="str">
        <f aca="false">IF($F81=0,"",_xlfn.MAXIFS('Training Log'!$I$5:$I$301,'Training Log'!$C$5:$C$301,$A81))</f>
        <v/>
      </c>
      <c r="E81" s="53" t="str">
        <f aca="false">IF($F81=0,"",_xlfn.MAXIFS('Training Log'!$E$5:$E$301,'Training Log'!$C$5:$C$301,$A81))</f>
        <v/>
      </c>
      <c r="F81" s="48" t="n">
        <f aca="false">COUNTIFS('Training Log'!$C$5:$C$301,$A81)</f>
        <v>0</v>
      </c>
      <c r="G81" s="53" t="str">
        <f aca="false">IF($F81=0,"",SUMIFS('Training Log'!$H$5:$H$301,'Training Log'!$C$5:$C$301,$A81))</f>
        <v/>
      </c>
      <c r="H81" s="55" t="str">
        <f aca="false">IF($F81=0,"",_xlfn.MAXIFS('Training Log'!$A$5:$A$301,'Training Log'!$C$5:$C$301,$A81))</f>
        <v/>
      </c>
    </row>
    <row r="82" customFormat="false" ht="15" hidden="false" customHeight="false" outlineLevel="0" collapsed="false">
      <c r="A82" s="54" t="s">
        <v>444</v>
      </c>
      <c r="B82" s="54" t="str">
        <f aca="false">IFERROR(INDEX(ExPrimary,MATCH($A82,ExName,0)),"")</f>
        <v>Quads</v>
      </c>
      <c r="C82" s="53" t="str">
        <f aca="false">IF(N(INDEX(Ex1RM,MATCH($A82,ExName,0)))=0,"",INDEX(Ex1RM,MATCH($A82,ExName,0)))</f>
        <v/>
      </c>
      <c r="D82" s="53" t="str">
        <f aca="false">IF($F82=0,"",_xlfn.MAXIFS('Training Log'!$I$5:$I$301,'Training Log'!$C$5:$C$301,$A82))</f>
        <v/>
      </c>
      <c r="E82" s="53" t="str">
        <f aca="false">IF($F82=0,"",_xlfn.MAXIFS('Training Log'!$E$5:$E$301,'Training Log'!$C$5:$C$301,$A82))</f>
        <v/>
      </c>
      <c r="F82" s="48" t="n">
        <f aca="false">COUNTIFS('Training Log'!$C$5:$C$301,$A82)</f>
        <v>0</v>
      </c>
      <c r="G82" s="53" t="str">
        <f aca="false">IF($F82=0,"",SUMIFS('Training Log'!$H$5:$H$301,'Training Log'!$C$5:$C$301,$A82))</f>
        <v/>
      </c>
      <c r="H82" s="55" t="str">
        <f aca="false">IF($F82=0,"",_xlfn.MAXIFS('Training Log'!$A$5:$A$301,'Training Log'!$C$5:$C$301,$A82))</f>
        <v/>
      </c>
    </row>
    <row r="83" customFormat="false" ht="15" hidden="false" customHeight="false" outlineLevel="0" collapsed="false">
      <c r="A83" s="54" t="s">
        <v>423</v>
      </c>
      <c r="B83" s="54" t="str">
        <f aca="false">IFERROR(INDEX(ExPrimary,MATCH($A83,ExName,0)),"")</f>
        <v>Full body</v>
      </c>
      <c r="C83" s="53" t="str">
        <f aca="false">IF(N(INDEX(Ex1RM,MATCH($A83,ExName,0)))=0,"",INDEX(Ex1RM,MATCH($A83,ExName,0)))</f>
        <v/>
      </c>
      <c r="D83" s="53" t="str">
        <f aca="false">IF($F83=0,"",_xlfn.MAXIFS('Training Log'!$I$5:$I$301,'Training Log'!$C$5:$C$301,$A83))</f>
        <v/>
      </c>
      <c r="E83" s="53" t="str">
        <f aca="false">IF($F83=0,"",_xlfn.MAXIFS('Training Log'!$E$5:$E$301,'Training Log'!$C$5:$C$301,$A83))</f>
        <v/>
      </c>
      <c r="F83" s="48" t="n">
        <f aca="false">COUNTIFS('Training Log'!$C$5:$C$301,$A83)</f>
        <v>0</v>
      </c>
      <c r="G83" s="53" t="str">
        <f aca="false">IF($F83=0,"",SUMIFS('Training Log'!$H$5:$H$301,'Training Log'!$C$5:$C$301,$A83))</f>
        <v/>
      </c>
      <c r="H83" s="55" t="str">
        <f aca="false">IF($F83=0,"",_xlfn.MAXIFS('Training Log'!$A$5:$A$301,'Training Log'!$C$5:$C$301,$A83))</f>
        <v/>
      </c>
    </row>
    <row r="84" customFormat="false" ht="15" hidden="false" customHeight="false" outlineLevel="0" collapsed="false">
      <c r="A84" s="54" t="s">
        <v>162</v>
      </c>
      <c r="B84" s="54" t="str">
        <f aca="false">IFERROR(INDEX(ExPrimary,MATCH($A84,ExName,0)),"")</f>
        <v>Hamstrings</v>
      </c>
      <c r="C84" s="53" t="str">
        <f aca="false">IF(N(INDEX(Ex1RM,MATCH($A84,ExName,0)))=0,"",INDEX(Ex1RM,MATCH($A84,ExName,0)))</f>
        <v/>
      </c>
      <c r="D84" s="53" t="str">
        <f aca="false">IF($F84=0,"",_xlfn.MAXIFS('Training Log'!$I$5:$I$301,'Training Log'!$C$5:$C$301,$A84))</f>
        <v/>
      </c>
      <c r="E84" s="53" t="str">
        <f aca="false">IF($F84=0,"",_xlfn.MAXIFS('Training Log'!$E$5:$E$301,'Training Log'!$C$5:$C$301,$A84))</f>
        <v/>
      </c>
      <c r="F84" s="48" t="n">
        <f aca="false">COUNTIFS('Training Log'!$C$5:$C$301,$A84)</f>
        <v>0</v>
      </c>
      <c r="G84" s="53" t="str">
        <f aca="false">IF($F84=0,"",SUMIFS('Training Log'!$H$5:$H$301,'Training Log'!$C$5:$C$301,$A84))</f>
        <v/>
      </c>
      <c r="H84" s="55" t="str">
        <f aca="false">IF($F84=0,"",_xlfn.MAXIFS('Training Log'!$A$5:$A$301,'Training Log'!$C$5:$C$301,$A84))</f>
        <v/>
      </c>
    </row>
    <row r="85" customFormat="false" ht="15" hidden="false" customHeight="false" outlineLevel="0" collapsed="false">
      <c r="A85" s="54" t="s">
        <v>427</v>
      </c>
      <c r="B85" s="54" t="str">
        <f aca="false">IFERROR(INDEX(ExPrimary,MATCH($A85,ExName,0)),"")</f>
        <v>Full body</v>
      </c>
      <c r="C85" s="53" t="str">
        <f aca="false">IF(N(INDEX(Ex1RM,MATCH($A85,ExName,0)))=0,"",INDEX(Ex1RM,MATCH($A85,ExName,0)))</f>
        <v/>
      </c>
      <c r="D85" s="53" t="str">
        <f aca="false">IF($F85=0,"",_xlfn.MAXIFS('Training Log'!$I$5:$I$301,'Training Log'!$C$5:$C$301,$A85))</f>
        <v/>
      </c>
      <c r="E85" s="53" t="str">
        <f aca="false">IF($F85=0,"",_xlfn.MAXIFS('Training Log'!$E$5:$E$301,'Training Log'!$C$5:$C$301,$A85))</f>
        <v/>
      </c>
      <c r="F85" s="48" t="n">
        <f aca="false">COUNTIFS('Training Log'!$C$5:$C$301,$A85)</f>
        <v>0</v>
      </c>
      <c r="G85" s="53" t="str">
        <f aca="false">IF($F85=0,"",SUMIFS('Training Log'!$H$5:$H$301,'Training Log'!$C$5:$C$301,$A85))</f>
        <v/>
      </c>
      <c r="H85" s="55" t="str">
        <f aca="false">IF($F85=0,"",_xlfn.MAXIFS('Training Log'!$A$5:$A$301,'Training Log'!$C$5:$C$301,$A85))</f>
        <v/>
      </c>
    </row>
    <row r="86" customFormat="false" ht="15" hidden="false" customHeight="false" outlineLevel="0" collapsed="false">
      <c r="A86" s="54" t="s">
        <v>165</v>
      </c>
      <c r="B86" s="54" t="str">
        <f aca="false">IFERROR(INDEX(ExPrimary,MATCH($A86,ExName,0)),"")</f>
        <v>Glutes</v>
      </c>
      <c r="C86" s="53" t="str">
        <f aca="false">IF(N(INDEX(Ex1RM,MATCH($A86,ExName,0)))=0,"",INDEX(Ex1RM,MATCH($A86,ExName,0)))</f>
        <v/>
      </c>
      <c r="D86" s="53" t="str">
        <f aca="false">IF($F86=0,"",_xlfn.MAXIFS('Training Log'!$I$5:$I$301,'Training Log'!$C$5:$C$301,$A86))</f>
        <v/>
      </c>
      <c r="E86" s="53" t="str">
        <f aca="false">IF($F86=0,"",_xlfn.MAXIFS('Training Log'!$E$5:$E$301,'Training Log'!$C$5:$C$301,$A86))</f>
        <v/>
      </c>
      <c r="F86" s="48" t="n">
        <f aca="false">COUNTIFS('Training Log'!$C$5:$C$301,$A86)</f>
        <v>0</v>
      </c>
      <c r="G86" s="53" t="str">
        <f aca="false">IF($F86=0,"",SUMIFS('Training Log'!$H$5:$H$301,'Training Log'!$C$5:$C$301,$A86))</f>
        <v/>
      </c>
      <c r="H86" s="55" t="str">
        <f aca="false">IF($F86=0,"",_xlfn.MAXIFS('Training Log'!$A$5:$A$301,'Training Log'!$C$5:$C$301,$A86))</f>
        <v/>
      </c>
    </row>
    <row r="87" customFormat="false" ht="15" hidden="false" customHeight="false" outlineLevel="0" collapsed="false">
      <c r="A87" s="54" t="s">
        <v>515</v>
      </c>
      <c r="B87" s="54" t="str">
        <f aca="false">IFERROR(INDEX(ExPrimary,MATCH($A87,ExName,0)),"")</f>
        <v>Core</v>
      </c>
      <c r="C87" s="53" t="str">
        <f aca="false">IF(N(INDEX(Ex1RM,MATCH($A87,ExName,0)))=0,"",INDEX(Ex1RM,MATCH($A87,ExName,0)))</f>
        <v/>
      </c>
      <c r="D87" s="53" t="str">
        <f aca="false">IF($F87=0,"",_xlfn.MAXIFS('Training Log'!$I$5:$I$301,'Training Log'!$C$5:$C$301,$A87))</f>
        <v/>
      </c>
      <c r="E87" s="53" t="str">
        <f aca="false">IF($F87=0,"",_xlfn.MAXIFS('Training Log'!$E$5:$E$301,'Training Log'!$C$5:$C$301,$A87))</f>
        <v/>
      </c>
      <c r="F87" s="48" t="n">
        <f aca="false">COUNTIFS('Training Log'!$C$5:$C$301,$A87)</f>
        <v>0</v>
      </c>
      <c r="G87" s="53" t="str">
        <f aca="false">IF($F87=0,"",SUMIFS('Training Log'!$H$5:$H$301,'Training Log'!$C$5:$C$301,$A87))</f>
        <v/>
      </c>
      <c r="H87" s="55" t="str">
        <f aca="false">IF($F87=0,"",_xlfn.MAXIFS('Training Log'!$A$5:$A$301,'Training Log'!$C$5:$C$301,$A87))</f>
        <v/>
      </c>
    </row>
    <row r="88" customFormat="false" ht="15" hidden="false" customHeight="false" outlineLevel="0" collapsed="false">
      <c r="A88" s="54" t="s">
        <v>303</v>
      </c>
      <c r="B88" s="54" t="str">
        <f aca="false">IFERROR(INDEX(ExPrimary,MATCH($A88,ExName,0)),"")</f>
        <v>Shoulders</v>
      </c>
      <c r="C88" s="53" t="str">
        <f aca="false">IF(N(INDEX(Ex1RM,MATCH($A88,ExName,0)))=0,"",INDEX(Ex1RM,MATCH($A88,ExName,0)))</f>
        <v/>
      </c>
      <c r="D88" s="53" t="str">
        <f aca="false">IF($F88=0,"",_xlfn.MAXIFS('Training Log'!$I$5:$I$301,'Training Log'!$C$5:$C$301,$A88))</f>
        <v/>
      </c>
      <c r="E88" s="53" t="str">
        <f aca="false">IF($F88=0,"",_xlfn.MAXIFS('Training Log'!$E$5:$E$301,'Training Log'!$C$5:$C$301,$A88))</f>
        <v/>
      </c>
      <c r="F88" s="48" t="n">
        <f aca="false">COUNTIFS('Training Log'!$C$5:$C$301,$A88)</f>
        <v>0</v>
      </c>
      <c r="G88" s="53" t="str">
        <f aca="false">IF($F88=0,"",SUMIFS('Training Log'!$H$5:$H$301,'Training Log'!$C$5:$C$301,$A88))</f>
        <v/>
      </c>
      <c r="H88" s="55" t="str">
        <f aca="false">IF($F88=0,"",_xlfn.MAXIFS('Training Log'!$A$5:$A$301,'Training Log'!$C$5:$C$301,$A88))</f>
        <v/>
      </c>
    </row>
    <row r="89" customFormat="false" ht="15" hidden="false" customHeight="false" outlineLevel="0" collapsed="false">
      <c r="A89" s="54" t="s">
        <v>512</v>
      </c>
      <c r="B89" s="54" t="str">
        <f aca="false">IFERROR(INDEX(ExPrimary,MATCH($A89,ExName,0)),"")</f>
        <v>Core</v>
      </c>
      <c r="C89" s="53" t="str">
        <f aca="false">IF(N(INDEX(Ex1RM,MATCH($A89,ExName,0)))=0,"",INDEX(Ex1RM,MATCH($A89,ExName,0)))</f>
        <v/>
      </c>
      <c r="D89" s="53" t="str">
        <f aca="false">IF($F89=0,"",_xlfn.MAXIFS('Training Log'!$I$5:$I$301,'Training Log'!$C$5:$C$301,$A89))</f>
        <v/>
      </c>
      <c r="E89" s="53" t="str">
        <f aca="false">IF($F89=0,"",_xlfn.MAXIFS('Training Log'!$E$5:$E$301,'Training Log'!$C$5:$C$301,$A89))</f>
        <v/>
      </c>
      <c r="F89" s="48" t="n">
        <f aca="false">COUNTIFS('Training Log'!$C$5:$C$301,$A89)</f>
        <v>0</v>
      </c>
      <c r="G89" s="53" t="str">
        <f aca="false">IF($F89=0,"",SUMIFS('Training Log'!$H$5:$H$301,'Training Log'!$C$5:$C$301,$A89))</f>
        <v/>
      </c>
      <c r="H89" s="55" t="str">
        <f aca="false">IF($F89=0,"",_xlfn.MAXIFS('Training Log'!$A$5:$A$301,'Training Log'!$C$5:$C$301,$A89))</f>
        <v/>
      </c>
    </row>
    <row r="90" customFormat="false" ht="15" hidden="false" customHeight="false" outlineLevel="0" collapsed="false">
      <c r="A90" s="54" t="s">
        <v>372</v>
      </c>
      <c r="B90" s="54" t="str">
        <f aca="false">IFERROR(INDEX(ExPrimary,MATCH($A90,ExName,0)),"")</f>
        <v>Back</v>
      </c>
      <c r="C90" s="53" t="str">
        <f aca="false">IF(N(INDEX(Ex1RM,MATCH($A90,ExName,0)))=0,"",INDEX(Ex1RM,MATCH($A90,ExName,0)))</f>
        <v/>
      </c>
      <c r="D90" s="53" t="str">
        <f aca="false">IF($F90=0,"",_xlfn.MAXIFS('Training Log'!$I$5:$I$301,'Training Log'!$C$5:$C$301,$A90))</f>
        <v/>
      </c>
      <c r="E90" s="53" t="str">
        <f aca="false">IF($F90=0,"",_xlfn.MAXIFS('Training Log'!$E$5:$E$301,'Training Log'!$C$5:$C$301,$A90))</f>
        <v/>
      </c>
      <c r="F90" s="48" t="n">
        <f aca="false">COUNTIFS('Training Log'!$C$5:$C$301,$A90)</f>
        <v>0</v>
      </c>
      <c r="G90" s="53" t="str">
        <f aca="false">IF($F90=0,"",SUMIFS('Training Log'!$H$5:$H$301,'Training Log'!$C$5:$C$301,$A90))</f>
        <v/>
      </c>
      <c r="H90" s="55" t="str">
        <f aca="false">IF($F90=0,"",_xlfn.MAXIFS('Training Log'!$A$5:$A$301,'Training Log'!$C$5:$C$301,$A90))</f>
        <v/>
      </c>
    </row>
    <row r="91" customFormat="false" ht="15" hidden="false" customHeight="false" outlineLevel="0" collapsed="false">
      <c r="A91" s="54" t="s">
        <v>454</v>
      </c>
      <c r="B91" s="54" t="str">
        <f aca="false">IFERROR(INDEX(ExPrimary,MATCH($A91,ExName,0)),"")</f>
        <v>Glutes</v>
      </c>
      <c r="C91" s="53" t="str">
        <f aca="false">IF(N(INDEX(Ex1RM,MATCH($A91,ExName,0)))=0,"",INDEX(Ex1RM,MATCH($A91,ExName,0)))</f>
        <v/>
      </c>
      <c r="D91" s="53" t="str">
        <f aca="false">IF($F91=0,"",_xlfn.MAXIFS('Training Log'!$I$5:$I$301,'Training Log'!$C$5:$C$301,$A91))</f>
        <v/>
      </c>
      <c r="E91" s="53" t="str">
        <f aca="false">IF($F91=0,"",_xlfn.MAXIFS('Training Log'!$E$5:$E$301,'Training Log'!$C$5:$C$301,$A91))</f>
        <v/>
      </c>
      <c r="F91" s="48" t="n">
        <f aca="false">COUNTIFS('Training Log'!$C$5:$C$301,$A91)</f>
        <v>0</v>
      </c>
      <c r="G91" s="53" t="str">
        <f aca="false">IF($F91=0,"",SUMIFS('Training Log'!$H$5:$H$301,'Training Log'!$C$5:$C$301,$A91))</f>
        <v/>
      </c>
      <c r="H91" s="55" t="str">
        <f aca="false">IF($F91=0,"",_xlfn.MAXIFS('Training Log'!$A$5:$A$301,'Training Log'!$C$5:$C$301,$A91))</f>
        <v/>
      </c>
    </row>
    <row r="92" customFormat="false" ht="15" hidden="false" customHeight="false" outlineLevel="0" collapsed="false">
      <c r="A92" s="54" t="s">
        <v>200</v>
      </c>
      <c r="B92" s="54" t="str">
        <f aca="false">IFERROR(INDEX(ExPrimary,MATCH($A92,ExName,0)),"")</f>
        <v>Adductors</v>
      </c>
      <c r="C92" s="53" t="str">
        <f aca="false">IF(N(INDEX(Ex1RM,MATCH($A92,ExName,0)))=0,"",INDEX(Ex1RM,MATCH($A92,ExName,0)))</f>
        <v/>
      </c>
      <c r="D92" s="53" t="str">
        <f aca="false">IF($F92=0,"",_xlfn.MAXIFS('Training Log'!$I$5:$I$301,'Training Log'!$C$5:$C$301,$A92))</f>
        <v/>
      </c>
      <c r="E92" s="53" t="str">
        <f aca="false">IF($F92=0,"",_xlfn.MAXIFS('Training Log'!$E$5:$E$301,'Training Log'!$C$5:$C$301,$A92))</f>
        <v/>
      </c>
      <c r="F92" s="48" t="n">
        <f aca="false">COUNTIFS('Training Log'!$C$5:$C$301,$A92)</f>
        <v>0</v>
      </c>
      <c r="G92" s="53" t="str">
        <f aca="false">IF($F92=0,"",SUMIFS('Training Log'!$H$5:$H$301,'Training Log'!$C$5:$C$301,$A92))</f>
        <v/>
      </c>
      <c r="H92" s="55" t="str">
        <f aca="false">IF($F92=0,"",_xlfn.MAXIFS('Training Log'!$A$5:$A$301,'Training Log'!$C$5:$C$301,$A92))</f>
        <v/>
      </c>
    </row>
    <row r="93" customFormat="false" ht="15" hidden="false" customHeight="false" outlineLevel="0" collapsed="false">
      <c r="A93" s="54" t="s">
        <v>592</v>
      </c>
      <c r="B93" s="54" t="str">
        <f aca="false">IFERROR(INDEX(ExPrimary,MATCH($A93,ExName,0)),"")</f>
        <v>Shoulders</v>
      </c>
      <c r="C93" s="53" t="str">
        <f aca="false">IF(N(INDEX(Ex1RM,MATCH($A93,ExName,0)))=0,"",INDEX(Ex1RM,MATCH($A93,ExName,0)))</f>
        <v/>
      </c>
      <c r="D93" s="53" t="str">
        <f aca="false">IF($F93=0,"",_xlfn.MAXIFS('Training Log'!$I$5:$I$301,'Training Log'!$C$5:$C$301,$A93))</f>
        <v/>
      </c>
      <c r="E93" s="53" t="str">
        <f aca="false">IF($F93=0,"",_xlfn.MAXIFS('Training Log'!$E$5:$E$301,'Training Log'!$C$5:$C$301,$A93))</f>
        <v/>
      </c>
      <c r="F93" s="48" t="n">
        <f aca="false">COUNTIFS('Training Log'!$C$5:$C$301,$A93)</f>
        <v>0</v>
      </c>
      <c r="G93" s="53" t="str">
        <f aca="false">IF($F93=0,"",SUMIFS('Training Log'!$H$5:$H$301,'Training Log'!$C$5:$C$301,$A93))</f>
        <v/>
      </c>
      <c r="H93" s="55" t="str">
        <f aca="false">IF($F93=0,"",_xlfn.MAXIFS('Training Log'!$A$5:$A$301,'Training Log'!$C$5:$C$301,$A93))</f>
        <v/>
      </c>
    </row>
    <row r="94" customFormat="false" ht="15" hidden="false" customHeight="false" outlineLevel="0" collapsed="false">
      <c r="A94" s="54" t="s">
        <v>617</v>
      </c>
      <c r="B94" s="54" t="str">
        <f aca="false">IFERROR(INDEX(ExPrimary,MATCH($A94,ExName,0)),"")</f>
        <v>Quads</v>
      </c>
      <c r="C94" s="53" t="str">
        <f aca="false">IF(N(INDEX(Ex1RM,MATCH($A94,ExName,0)))=0,"",INDEX(Ex1RM,MATCH($A94,ExName,0)))</f>
        <v/>
      </c>
      <c r="D94" s="53" t="str">
        <f aca="false">IF($F94=0,"",_xlfn.MAXIFS('Training Log'!$I$5:$I$301,'Training Log'!$C$5:$C$301,$A94))</f>
        <v/>
      </c>
      <c r="E94" s="53" t="str">
        <f aca="false">IF($F94=0,"",_xlfn.MAXIFS('Training Log'!$E$5:$E$301,'Training Log'!$C$5:$C$301,$A94))</f>
        <v/>
      </c>
      <c r="F94" s="48" t="n">
        <f aca="false">COUNTIFS('Training Log'!$C$5:$C$301,$A94)</f>
        <v>0</v>
      </c>
      <c r="G94" s="53" t="str">
        <f aca="false">IF($F94=0,"",SUMIFS('Training Log'!$H$5:$H$301,'Training Log'!$C$5:$C$301,$A94))</f>
        <v/>
      </c>
      <c r="H94" s="55" t="str">
        <f aca="false">IF($F94=0,"",_xlfn.MAXIFS('Training Log'!$A$5:$A$301,'Training Log'!$C$5:$C$301,$A94))</f>
        <v/>
      </c>
    </row>
    <row r="95" customFormat="false" ht="15" hidden="false" customHeight="false" outlineLevel="0" collapsed="false">
      <c r="A95" s="54" t="s">
        <v>103</v>
      </c>
      <c r="B95" s="54" t="str">
        <f aca="false">IFERROR(INDEX(ExPrimary,MATCH($A95,ExName,0)),"")</f>
        <v>Quads</v>
      </c>
      <c r="C95" s="53" t="str">
        <f aca="false">IF(N(INDEX(Ex1RM,MATCH($A95,ExName,0)))=0,"",INDEX(Ex1RM,MATCH($A95,ExName,0)))</f>
        <v/>
      </c>
      <c r="D95" s="53" t="str">
        <f aca="false">IF($F95=0,"",_xlfn.MAXIFS('Training Log'!$I$5:$I$301,'Training Log'!$C$5:$C$301,$A95))</f>
        <v/>
      </c>
      <c r="E95" s="53" t="str">
        <f aca="false">IF($F95=0,"",_xlfn.MAXIFS('Training Log'!$E$5:$E$301,'Training Log'!$C$5:$C$301,$A95))</f>
        <v/>
      </c>
      <c r="F95" s="48" t="n">
        <f aca="false">COUNTIFS('Training Log'!$C$5:$C$301,$A95)</f>
        <v>0</v>
      </c>
      <c r="G95" s="53" t="str">
        <f aca="false">IF($F95=0,"",SUMIFS('Training Log'!$H$5:$H$301,'Training Log'!$C$5:$C$301,$A95))</f>
        <v/>
      </c>
      <c r="H95" s="55" t="str">
        <f aca="false">IF($F95=0,"",_xlfn.MAXIFS('Training Log'!$A$5:$A$301,'Training Log'!$C$5:$C$301,$A95))</f>
        <v/>
      </c>
    </row>
    <row r="96" customFormat="false" ht="15" hidden="false" customHeight="false" outlineLevel="0" collapsed="false">
      <c r="A96" s="54" t="s">
        <v>620</v>
      </c>
      <c r="B96" s="54" t="str">
        <f aca="false">IFERROR(INDEX(ExPrimary,MATCH($A96,ExName,0)),"")</f>
        <v>Hamstrings</v>
      </c>
      <c r="C96" s="53" t="str">
        <f aca="false">IF(N(INDEX(Ex1RM,MATCH($A96,ExName,0)))=0,"",INDEX(Ex1RM,MATCH($A96,ExName,0)))</f>
        <v/>
      </c>
      <c r="D96" s="53" t="str">
        <f aca="false">IF($F96=0,"",_xlfn.MAXIFS('Training Log'!$I$5:$I$301,'Training Log'!$C$5:$C$301,$A96))</f>
        <v/>
      </c>
      <c r="E96" s="53" t="str">
        <f aca="false">IF($F96=0,"",_xlfn.MAXIFS('Training Log'!$E$5:$E$301,'Training Log'!$C$5:$C$301,$A96))</f>
        <v/>
      </c>
      <c r="F96" s="48" t="n">
        <f aca="false">COUNTIFS('Training Log'!$C$5:$C$301,$A96)</f>
        <v>0</v>
      </c>
      <c r="G96" s="53" t="str">
        <f aca="false">IF($F96=0,"",SUMIFS('Training Log'!$H$5:$H$301,'Training Log'!$C$5:$C$301,$A96))</f>
        <v/>
      </c>
      <c r="H96" s="55" t="str">
        <f aca="false">IF($F96=0,"",_xlfn.MAXIFS('Training Log'!$A$5:$A$301,'Training Log'!$C$5:$C$301,$A96))</f>
        <v/>
      </c>
    </row>
    <row r="97" customFormat="false" ht="15" hidden="false" customHeight="false" outlineLevel="0" collapsed="false">
      <c r="A97" s="54" t="s">
        <v>242</v>
      </c>
      <c r="B97" s="54" t="str">
        <f aca="false">IFERROR(INDEX(ExPrimary,MATCH($A97,ExName,0)),"")</f>
        <v>Chest</v>
      </c>
      <c r="C97" s="53" t="str">
        <f aca="false">IF(N(INDEX(Ex1RM,MATCH($A97,ExName,0)))=0,"",INDEX(Ex1RM,MATCH($A97,ExName,0)))</f>
        <v/>
      </c>
      <c r="D97" s="53" t="str">
        <f aca="false">IF($F97=0,"",_xlfn.MAXIFS('Training Log'!$I$5:$I$301,'Training Log'!$C$5:$C$301,$A97))</f>
        <v/>
      </c>
      <c r="E97" s="53" t="str">
        <f aca="false">IF($F97=0,"",_xlfn.MAXIFS('Training Log'!$E$5:$E$301,'Training Log'!$C$5:$C$301,$A97))</f>
        <v/>
      </c>
      <c r="F97" s="48" t="n">
        <f aca="false">COUNTIFS('Training Log'!$C$5:$C$301,$A97)</f>
        <v>0</v>
      </c>
      <c r="G97" s="53" t="str">
        <f aca="false">IF($F97=0,"",SUMIFS('Training Log'!$H$5:$H$301,'Training Log'!$C$5:$C$301,$A97))</f>
        <v/>
      </c>
      <c r="H97" s="55" t="str">
        <f aca="false">IF($F97=0,"",_xlfn.MAXIFS('Training Log'!$A$5:$A$301,'Training Log'!$C$5:$C$301,$A97))</f>
        <v/>
      </c>
    </row>
    <row r="98" customFormat="false" ht="15" hidden="false" customHeight="false" outlineLevel="0" collapsed="false">
      <c r="A98" s="54" t="s">
        <v>345</v>
      </c>
      <c r="B98" s="54" t="str">
        <f aca="false">IFERROR(INDEX(ExPrimary,MATCH($A98,ExName,0)),"")</f>
        <v>Back</v>
      </c>
      <c r="C98" s="53" t="str">
        <f aca="false">IF(N(INDEX(Ex1RM,MATCH($A98,ExName,0)))=0,"",INDEX(Ex1RM,MATCH($A98,ExName,0)))</f>
        <v/>
      </c>
      <c r="D98" s="53" t="str">
        <f aca="false">IF($F98=0,"",_xlfn.MAXIFS('Training Log'!$I$5:$I$301,'Training Log'!$C$5:$C$301,$A98))</f>
        <v/>
      </c>
      <c r="E98" s="53" t="str">
        <f aca="false">IF($F98=0,"",_xlfn.MAXIFS('Training Log'!$E$5:$E$301,'Training Log'!$C$5:$C$301,$A98))</f>
        <v/>
      </c>
      <c r="F98" s="48" t="n">
        <f aca="false">COUNTIFS('Training Log'!$C$5:$C$301,$A98)</f>
        <v>0</v>
      </c>
      <c r="G98" s="53" t="str">
        <f aca="false">IF($F98=0,"",SUMIFS('Training Log'!$H$5:$H$301,'Training Log'!$C$5:$C$301,$A98))</f>
        <v/>
      </c>
      <c r="H98" s="55" t="str">
        <f aca="false">IF($F98=0,"",_xlfn.MAXIFS('Training Log'!$A$5:$A$301,'Training Log'!$C$5:$C$301,$A98))</f>
        <v/>
      </c>
    </row>
    <row r="99" customFormat="false" ht="15" hidden="false" customHeight="false" outlineLevel="0" collapsed="false">
      <c r="A99" s="54" t="s">
        <v>297</v>
      </c>
      <c r="B99" s="54" t="str">
        <f aca="false">IFERROR(INDEX(ExPrimary,MATCH($A99,ExName,0)),"")</f>
        <v>Shoulders</v>
      </c>
      <c r="C99" s="53" t="str">
        <f aca="false">IF(N(INDEX(Ex1RM,MATCH($A99,ExName,0)))=0,"",INDEX(Ex1RM,MATCH($A99,ExName,0)))</f>
        <v/>
      </c>
      <c r="D99" s="53" t="str">
        <f aca="false">IF($F99=0,"",_xlfn.MAXIFS('Training Log'!$I$5:$I$301,'Training Log'!$C$5:$C$301,$A99))</f>
        <v/>
      </c>
      <c r="E99" s="53" t="str">
        <f aca="false">IF($F99=0,"",_xlfn.MAXIFS('Training Log'!$E$5:$E$301,'Training Log'!$C$5:$C$301,$A99))</f>
        <v/>
      </c>
      <c r="F99" s="48" t="n">
        <f aca="false">COUNTIFS('Training Log'!$C$5:$C$301,$A99)</f>
        <v>0</v>
      </c>
      <c r="G99" s="53" t="str">
        <f aca="false">IF($F99=0,"",SUMIFS('Training Log'!$H$5:$H$301,'Training Log'!$C$5:$C$301,$A99))</f>
        <v/>
      </c>
      <c r="H99" s="55" t="str">
        <f aca="false">IF($F99=0,"",_xlfn.MAXIFS('Training Log'!$A$5:$A$301,'Training Log'!$C$5:$C$301,$A99))</f>
        <v/>
      </c>
    </row>
    <row r="100" customFormat="false" ht="15" hidden="false" customHeight="false" outlineLevel="0" collapsed="false">
      <c r="A100" s="54" t="s">
        <v>335</v>
      </c>
      <c r="B100" s="54" t="str">
        <f aca="false">IFERROR(INDEX(ExPrimary,MATCH($A100,ExName,0)),"")</f>
        <v>Back</v>
      </c>
      <c r="C100" s="53" t="str">
        <f aca="false">IF(N(INDEX(Ex1RM,MATCH($A100,ExName,0)))=0,"",INDEX(Ex1RM,MATCH($A100,ExName,0)))</f>
        <v/>
      </c>
      <c r="D100" s="53" t="str">
        <f aca="false">IF($F100=0,"",_xlfn.MAXIFS('Training Log'!$I$5:$I$301,'Training Log'!$C$5:$C$301,$A100))</f>
        <v/>
      </c>
      <c r="E100" s="53" t="str">
        <f aca="false">IF($F100=0,"",_xlfn.MAXIFS('Training Log'!$E$5:$E$301,'Training Log'!$C$5:$C$301,$A100))</f>
        <v/>
      </c>
      <c r="F100" s="48" t="n">
        <f aca="false">COUNTIFS('Training Log'!$C$5:$C$301,$A100)</f>
        <v>0</v>
      </c>
      <c r="G100" s="53" t="str">
        <f aca="false">IF($F100=0,"",SUMIFS('Training Log'!$H$5:$H$301,'Training Log'!$C$5:$C$301,$A100))</f>
        <v/>
      </c>
      <c r="H100" s="55" t="str">
        <f aca="false">IF($F100=0,"",_xlfn.MAXIFS('Training Log'!$A$5:$A$301,'Training Log'!$C$5:$C$301,$A100))</f>
        <v/>
      </c>
    </row>
    <row r="101" customFormat="false" ht="15" hidden="false" customHeight="false" outlineLevel="0" collapsed="false">
      <c r="A101" s="54" t="s">
        <v>461</v>
      </c>
      <c r="B101" s="54" t="str">
        <f aca="false">IFERROR(INDEX(ExPrimary,MATCH($A101,ExName,0)),"")</f>
        <v>Core</v>
      </c>
      <c r="C101" s="53" t="str">
        <f aca="false">IF(N(INDEX(Ex1RM,MATCH($A101,ExName,0)))=0,"",INDEX(Ex1RM,MATCH($A101,ExName,0)))</f>
        <v/>
      </c>
      <c r="D101" s="53" t="str">
        <f aca="false">IF($F101=0,"",_xlfn.MAXIFS('Training Log'!$I$5:$I$301,'Training Log'!$C$5:$C$301,$A101))</f>
        <v/>
      </c>
      <c r="E101" s="53" t="str">
        <f aca="false">IF($F101=0,"",_xlfn.MAXIFS('Training Log'!$E$5:$E$301,'Training Log'!$C$5:$C$301,$A101))</f>
        <v/>
      </c>
      <c r="F101" s="48" t="n">
        <f aca="false">COUNTIFS('Training Log'!$C$5:$C$301,$A101)</f>
        <v>0</v>
      </c>
      <c r="G101" s="53" t="str">
        <f aca="false">IF($F101=0,"",SUMIFS('Training Log'!$H$5:$H$301,'Training Log'!$C$5:$C$301,$A101))</f>
        <v/>
      </c>
      <c r="H101" s="55" t="str">
        <f aca="false">IF($F101=0,"",_xlfn.MAXIFS('Training Log'!$A$5:$A$301,'Training Log'!$C$5:$C$301,$A101))</f>
        <v/>
      </c>
    </row>
    <row r="102" customFormat="false" ht="15" hidden="false" customHeight="false" outlineLevel="0" collapsed="false">
      <c r="A102" s="54" t="s">
        <v>381</v>
      </c>
      <c r="B102" s="54" t="str">
        <f aca="false">IFERROR(INDEX(ExPrimary,MATCH($A102,ExName,0)),"")</f>
        <v>Back</v>
      </c>
      <c r="C102" s="53" t="str">
        <f aca="false">IF(N(INDEX(Ex1RM,MATCH($A102,ExName,0)))=0,"",INDEX(Ex1RM,MATCH($A102,ExName,0)))</f>
        <v/>
      </c>
      <c r="D102" s="53" t="str">
        <f aca="false">IF($F102=0,"",_xlfn.MAXIFS('Training Log'!$I$5:$I$301,'Training Log'!$C$5:$C$301,$A102))</f>
        <v/>
      </c>
      <c r="E102" s="53" t="str">
        <f aca="false">IF($F102=0,"",_xlfn.MAXIFS('Training Log'!$E$5:$E$301,'Training Log'!$C$5:$C$301,$A102))</f>
        <v/>
      </c>
      <c r="F102" s="48" t="n">
        <f aca="false">COUNTIFS('Training Log'!$C$5:$C$301,$A102)</f>
        <v>0</v>
      </c>
      <c r="G102" s="53" t="str">
        <f aca="false">IF($F102=0,"",SUMIFS('Training Log'!$H$5:$H$301,'Training Log'!$C$5:$C$301,$A102))</f>
        <v/>
      </c>
      <c r="H102" s="55" t="str">
        <f aca="false">IF($F102=0,"",_xlfn.MAXIFS('Training Log'!$A$5:$A$301,'Training Log'!$C$5:$C$301,$A102))</f>
        <v/>
      </c>
    </row>
    <row r="103" customFormat="false" ht="15" hidden="false" customHeight="false" outlineLevel="0" collapsed="false">
      <c r="A103" s="54" t="s">
        <v>369</v>
      </c>
      <c r="B103" s="54" t="str">
        <f aca="false">IFERROR(INDEX(ExPrimary,MATCH($A103,ExName,0)),"")</f>
        <v>Back</v>
      </c>
      <c r="C103" s="53" t="str">
        <f aca="false">IF(N(INDEX(Ex1RM,MATCH($A103,ExName,0)))=0,"",INDEX(Ex1RM,MATCH($A103,ExName,0)))</f>
        <v/>
      </c>
      <c r="D103" s="53" t="str">
        <f aca="false">IF($F103=0,"",_xlfn.MAXIFS('Training Log'!$I$5:$I$301,'Training Log'!$C$5:$C$301,$A103))</f>
        <v/>
      </c>
      <c r="E103" s="53" t="str">
        <f aca="false">IF($F103=0,"",_xlfn.MAXIFS('Training Log'!$E$5:$E$301,'Training Log'!$C$5:$C$301,$A103))</f>
        <v/>
      </c>
      <c r="F103" s="48" t="n">
        <f aca="false">COUNTIFS('Training Log'!$C$5:$C$301,$A103)</f>
        <v>0</v>
      </c>
      <c r="G103" s="53" t="str">
        <f aca="false">IF($F103=0,"",SUMIFS('Training Log'!$H$5:$H$301,'Training Log'!$C$5:$C$301,$A103))</f>
        <v/>
      </c>
      <c r="H103" s="55" t="str">
        <f aca="false">IF($F103=0,"",_xlfn.MAXIFS('Training Log'!$A$5:$A$301,'Training Log'!$C$5:$C$301,$A103))</f>
        <v/>
      </c>
    </row>
    <row r="104" customFormat="false" ht="15" hidden="false" customHeight="false" outlineLevel="0" collapsed="false">
      <c r="A104" s="54" t="s">
        <v>375</v>
      </c>
      <c r="B104" s="54" t="str">
        <f aca="false">IFERROR(INDEX(ExPrimary,MATCH($A104,ExName,0)),"")</f>
        <v>Back</v>
      </c>
      <c r="C104" s="53" t="str">
        <f aca="false">IF(N(INDEX(Ex1RM,MATCH($A104,ExName,0)))=0,"",INDEX(Ex1RM,MATCH($A104,ExName,0)))</f>
        <v/>
      </c>
      <c r="D104" s="53" t="str">
        <f aca="false">IF($F104=0,"",_xlfn.MAXIFS('Training Log'!$I$5:$I$301,'Training Log'!$C$5:$C$301,$A104))</f>
        <v/>
      </c>
      <c r="E104" s="53" t="str">
        <f aca="false">IF($F104=0,"",_xlfn.MAXIFS('Training Log'!$E$5:$E$301,'Training Log'!$C$5:$C$301,$A104))</f>
        <v/>
      </c>
      <c r="F104" s="48" t="n">
        <f aca="false">COUNTIFS('Training Log'!$C$5:$C$301,$A104)</f>
        <v>0</v>
      </c>
      <c r="G104" s="53" t="str">
        <f aca="false">IF($F104=0,"",SUMIFS('Training Log'!$H$5:$H$301,'Training Log'!$C$5:$C$301,$A104))</f>
        <v/>
      </c>
      <c r="H104" s="55" t="str">
        <f aca="false">IF($F104=0,"",_xlfn.MAXIFS('Training Log'!$A$5:$A$301,'Training Log'!$C$5:$C$301,$A104))</f>
        <v/>
      </c>
    </row>
    <row r="105" customFormat="false" ht="15" hidden="false" customHeight="false" outlineLevel="0" collapsed="false">
      <c r="A105" s="54" t="s">
        <v>176</v>
      </c>
      <c r="B105" s="54" t="str">
        <f aca="false">IFERROR(INDEX(ExPrimary,MATCH($A105,ExName,0)),"")</f>
        <v>Hamstrings</v>
      </c>
      <c r="C105" s="53" t="str">
        <f aca="false">IF(N(INDEX(Ex1RM,MATCH($A105,ExName,0)))=0,"",INDEX(Ex1RM,MATCH($A105,ExName,0)))</f>
        <v/>
      </c>
      <c r="D105" s="53" t="str">
        <f aca="false">IF($F105=0,"",_xlfn.MAXIFS('Training Log'!$I$5:$I$301,'Training Log'!$C$5:$C$301,$A105))</f>
        <v/>
      </c>
      <c r="E105" s="53" t="str">
        <f aca="false">IF($F105=0,"",_xlfn.MAXIFS('Training Log'!$E$5:$E$301,'Training Log'!$C$5:$C$301,$A105))</f>
        <v/>
      </c>
      <c r="F105" s="48" t="n">
        <f aca="false">COUNTIFS('Training Log'!$C$5:$C$301,$A105)</f>
        <v>0</v>
      </c>
      <c r="G105" s="53" t="str">
        <f aca="false">IF($F105=0,"",SUMIFS('Training Log'!$H$5:$H$301,'Training Log'!$C$5:$C$301,$A105))</f>
        <v/>
      </c>
      <c r="H105" s="55" t="str">
        <f aca="false">IF($F105=0,"",_xlfn.MAXIFS('Training Log'!$A$5:$A$301,'Training Log'!$C$5:$C$301,$A105))</f>
        <v/>
      </c>
    </row>
    <row r="106" customFormat="false" ht="15" hidden="false" customHeight="false" outlineLevel="0" collapsed="false">
      <c r="A106" s="54" t="s">
        <v>537</v>
      </c>
      <c r="B106" s="54" t="str">
        <f aca="false">IFERROR(INDEX(ExPrimary,MATCH($A106,ExName,0)),"")</f>
        <v>Shoulders</v>
      </c>
      <c r="C106" s="53" t="str">
        <f aca="false">IF(N(INDEX(Ex1RM,MATCH($A106,ExName,0)))=0,"",INDEX(Ex1RM,MATCH($A106,ExName,0)))</f>
        <v/>
      </c>
      <c r="D106" s="53" t="str">
        <f aca="false">IF($F106=0,"",_xlfn.MAXIFS('Training Log'!$I$5:$I$301,'Training Log'!$C$5:$C$301,$A106))</f>
        <v/>
      </c>
      <c r="E106" s="53" t="str">
        <f aca="false">IF($F106=0,"",_xlfn.MAXIFS('Training Log'!$E$5:$E$301,'Training Log'!$C$5:$C$301,$A106))</f>
        <v/>
      </c>
      <c r="F106" s="48" t="n">
        <f aca="false">COUNTIFS('Training Log'!$C$5:$C$301,$A106)</f>
        <v>0</v>
      </c>
      <c r="G106" s="53" t="str">
        <f aca="false">IF($F106=0,"",SUMIFS('Training Log'!$H$5:$H$301,'Training Log'!$C$5:$C$301,$A106))</f>
        <v/>
      </c>
      <c r="H106" s="55" t="str">
        <f aca="false">IF($F106=0,"",_xlfn.MAXIFS('Training Log'!$A$5:$A$301,'Training Log'!$C$5:$C$301,$A106))</f>
        <v/>
      </c>
    </row>
    <row r="107" customFormat="false" ht="15" hidden="false" customHeight="false" outlineLevel="0" collapsed="false">
      <c r="A107" s="54" t="s">
        <v>276</v>
      </c>
      <c r="B107" s="54" t="str">
        <f aca="false">IFERROR(INDEX(ExPrimary,MATCH($A107,ExName,0)),"")</f>
        <v>Shoulders</v>
      </c>
      <c r="C107" s="53" t="str">
        <f aca="false">IF(N(INDEX(Ex1RM,MATCH($A107,ExName,0)))=0,"",INDEX(Ex1RM,MATCH($A107,ExName,0)))</f>
        <v/>
      </c>
      <c r="D107" s="53" t="str">
        <f aca="false">IF($F107=0,"",_xlfn.MAXIFS('Training Log'!$I$5:$I$301,'Training Log'!$C$5:$C$301,$A107))</f>
        <v/>
      </c>
      <c r="E107" s="53" t="str">
        <f aca="false">IF($F107=0,"",_xlfn.MAXIFS('Training Log'!$E$5:$E$301,'Training Log'!$C$5:$C$301,$A107))</f>
        <v/>
      </c>
      <c r="F107" s="48" t="n">
        <f aca="false">COUNTIFS('Training Log'!$C$5:$C$301,$A107)</f>
        <v>0</v>
      </c>
      <c r="G107" s="53" t="str">
        <f aca="false">IF($F107=0,"",SUMIFS('Training Log'!$H$5:$H$301,'Training Log'!$C$5:$C$301,$A107))</f>
        <v/>
      </c>
      <c r="H107" s="55" t="str">
        <f aca="false">IF($F107=0,"",_xlfn.MAXIFS('Training Log'!$A$5:$A$301,'Training Log'!$C$5:$C$301,$A107))</f>
        <v/>
      </c>
    </row>
    <row r="108" customFormat="false" ht="15" hidden="false" customHeight="false" outlineLevel="0" collapsed="false">
      <c r="A108" s="54" t="s">
        <v>81</v>
      </c>
      <c r="B108" s="54" t="str">
        <f aca="false">IFERROR(INDEX(ExPrimary,MATCH($A108,ExName,0)),"")</f>
        <v>Quads</v>
      </c>
      <c r="C108" s="53" t="str">
        <f aca="false">IF(N(INDEX(Ex1RM,MATCH($A108,ExName,0)))=0,"",INDEX(Ex1RM,MATCH($A108,ExName,0)))</f>
        <v/>
      </c>
      <c r="D108" s="53" t="str">
        <f aca="false">IF($F108=0,"",_xlfn.MAXIFS('Training Log'!$I$5:$I$301,'Training Log'!$C$5:$C$301,$A108))</f>
        <v/>
      </c>
      <c r="E108" s="53" t="str">
        <f aca="false">IF($F108=0,"",_xlfn.MAXIFS('Training Log'!$E$5:$E$301,'Training Log'!$C$5:$C$301,$A108))</f>
        <v/>
      </c>
      <c r="F108" s="48" t="n">
        <f aca="false">COUNTIFS('Training Log'!$C$5:$C$301,$A108)</f>
        <v>0</v>
      </c>
      <c r="G108" s="53" t="str">
        <f aca="false">IF($F108=0,"",SUMIFS('Training Log'!$H$5:$H$301,'Training Log'!$C$5:$C$301,$A108))</f>
        <v/>
      </c>
      <c r="H108" s="55" t="str">
        <f aca="false">IF($F108=0,"",_xlfn.MAXIFS('Training Log'!$A$5:$A$301,'Training Log'!$C$5:$C$301,$A108))</f>
        <v/>
      </c>
    </row>
    <row r="109" customFormat="false" ht="15" hidden="false" customHeight="false" outlineLevel="0" collapsed="false">
      <c r="A109" s="54" t="s">
        <v>577</v>
      </c>
      <c r="B109" s="54" t="str">
        <f aca="false">IFERROR(INDEX(ExPrimary,MATCH($A109,ExName,0)),"")</f>
        <v>Triceps</v>
      </c>
      <c r="C109" s="53" t="str">
        <f aca="false">IF(N(INDEX(Ex1RM,MATCH($A109,ExName,0)))=0,"",INDEX(Ex1RM,MATCH($A109,ExName,0)))</f>
        <v/>
      </c>
      <c r="D109" s="53" t="str">
        <f aca="false">IF($F109=0,"",_xlfn.MAXIFS('Training Log'!$I$5:$I$301,'Training Log'!$C$5:$C$301,$A109))</f>
        <v/>
      </c>
      <c r="E109" s="53" t="str">
        <f aca="false">IF($F109=0,"",_xlfn.MAXIFS('Training Log'!$E$5:$E$301,'Training Log'!$C$5:$C$301,$A109))</f>
        <v/>
      </c>
      <c r="F109" s="48" t="n">
        <f aca="false">COUNTIFS('Training Log'!$C$5:$C$301,$A109)</f>
        <v>0</v>
      </c>
      <c r="G109" s="53" t="str">
        <f aca="false">IF($F109=0,"",SUMIFS('Training Log'!$H$5:$H$301,'Training Log'!$C$5:$C$301,$A109))</f>
        <v/>
      </c>
      <c r="H109" s="55" t="str">
        <f aca="false">IF($F109=0,"",_xlfn.MAXIFS('Training Log'!$A$5:$A$301,'Training Log'!$C$5:$C$301,$A109))</f>
        <v/>
      </c>
    </row>
    <row r="110" customFormat="false" ht="15" hidden="false" customHeight="false" outlineLevel="0" collapsed="false">
      <c r="A110" s="54" t="s">
        <v>478</v>
      </c>
      <c r="B110" s="54" t="str">
        <f aca="false">IFERROR(INDEX(ExPrimary,MATCH($A110,ExName,0)),"")</f>
        <v>Core</v>
      </c>
      <c r="C110" s="53" t="str">
        <f aca="false">IF(N(INDEX(Ex1RM,MATCH($A110,ExName,0)))=0,"",INDEX(Ex1RM,MATCH($A110,ExName,0)))</f>
        <v/>
      </c>
      <c r="D110" s="53" t="str">
        <f aca="false">IF($F110=0,"",_xlfn.MAXIFS('Training Log'!$I$5:$I$301,'Training Log'!$C$5:$C$301,$A110))</f>
        <v/>
      </c>
      <c r="E110" s="53" t="str">
        <f aca="false">IF($F110=0,"",_xlfn.MAXIFS('Training Log'!$E$5:$E$301,'Training Log'!$C$5:$C$301,$A110))</f>
        <v/>
      </c>
      <c r="F110" s="48" t="n">
        <f aca="false">COUNTIFS('Training Log'!$C$5:$C$301,$A110)</f>
        <v>0</v>
      </c>
      <c r="G110" s="53" t="str">
        <f aca="false">IF($F110=0,"",SUMIFS('Training Log'!$H$5:$H$301,'Training Log'!$C$5:$C$301,$A110))</f>
        <v/>
      </c>
      <c r="H110" s="55" t="str">
        <f aca="false">IF($F110=0,"",_xlfn.MAXIFS('Training Log'!$A$5:$A$301,'Training Log'!$C$5:$C$301,$A110))</f>
        <v/>
      </c>
    </row>
    <row r="111" customFormat="false" ht="15" hidden="false" customHeight="false" outlineLevel="0" collapsed="false">
      <c r="A111" s="54" t="s">
        <v>73</v>
      </c>
      <c r="B111" s="54" t="str">
        <f aca="false">IFERROR(INDEX(ExPrimary,MATCH($A111,ExName,0)),"")</f>
        <v>Quads</v>
      </c>
      <c r="C111" s="53" t="str">
        <f aca="false">IF(N(INDEX(Ex1RM,MATCH($A111,ExName,0)))=0,"",INDEX(Ex1RM,MATCH($A111,ExName,0)))</f>
        <v/>
      </c>
      <c r="D111" s="53" t="str">
        <f aca="false">IF($F111=0,"",_xlfn.MAXIFS('Training Log'!$I$5:$I$301,'Training Log'!$C$5:$C$301,$A111))</f>
        <v/>
      </c>
      <c r="E111" s="53" t="str">
        <f aca="false">IF($F111=0,"",_xlfn.MAXIFS('Training Log'!$E$5:$E$301,'Training Log'!$C$5:$C$301,$A111))</f>
        <v/>
      </c>
      <c r="F111" s="48" t="n">
        <f aca="false">COUNTIFS('Training Log'!$C$5:$C$301,$A111)</f>
        <v>0</v>
      </c>
      <c r="G111" s="53" t="str">
        <f aca="false">IF($F111=0,"",SUMIFS('Training Log'!$H$5:$H$301,'Training Log'!$C$5:$C$301,$A111))</f>
        <v/>
      </c>
      <c r="H111" s="55" t="str">
        <f aca="false">IF($F111=0,"",_xlfn.MAXIFS('Training Log'!$A$5:$A$301,'Training Log'!$C$5:$C$301,$A111))</f>
        <v/>
      </c>
    </row>
    <row r="112" customFormat="false" ht="15" hidden="false" customHeight="false" outlineLevel="0" collapsed="false">
      <c r="A112" s="54" t="s">
        <v>269</v>
      </c>
      <c r="B112" s="54" t="str">
        <f aca="false">IFERROR(INDEX(ExPrimary,MATCH($A112,ExName,0)),"")</f>
        <v>Chest</v>
      </c>
      <c r="C112" s="53" t="str">
        <f aca="false">IF(N(INDEX(Ex1RM,MATCH($A112,ExName,0)))=0,"",INDEX(Ex1RM,MATCH($A112,ExName,0)))</f>
        <v/>
      </c>
      <c r="D112" s="53" t="str">
        <f aca="false">IF($F112=0,"",_xlfn.MAXIFS('Training Log'!$I$5:$I$301,'Training Log'!$C$5:$C$301,$A112))</f>
        <v/>
      </c>
      <c r="E112" s="53" t="str">
        <f aca="false">IF($F112=0,"",_xlfn.MAXIFS('Training Log'!$E$5:$E$301,'Training Log'!$C$5:$C$301,$A112))</f>
        <v/>
      </c>
      <c r="F112" s="48" t="n">
        <f aca="false">COUNTIFS('Training Log'!$C$5:$C$301,$A112)</f>
        <v>0</v>
      </c>
      <c r="G112" s="53" t="str">
        <f aca="false">IF($F112=0,"",SUMIFS('Training Log'!$H$5:$H$301,'Training Log'!$C$5:$C$301,$A112))</f>
        <v/>
      </c>
      <c r="H112" s="55" t="str">
        <f aca="false">IF($F112=0,"",_xlfn.MAXIFS('Training Log'!$A$5:$A$301,'Training Log'!$C$5:$C$301,$A112))</f>
        <v/>
      </c>
    </row>
    <row r="113" customFormat="false" ht="15" hidden="false" customHeight="false" outlineLevel="0" collapsed="false">
      <c r="A113" s="54" t="s">
        <v>319</v>
      </c>
      <c r="B113" s="54" t="str">
        <f aca="false">IFERROR(INDEX(ExPrimary,MATCH($A113,ExName,0)),"")</f>
        <v>Back</v>
      </c>
      <c r="C113" s="53" t="str">
        <f aca="false">IF(N(INDEX(Ex1RM,MATCH($A113,ExName,0)))=0,"",INDEX(Ex1RM,MATCH($A113,ExName,0)))</f>
        <v/>
      </c>
      <c r="D113" s="53" t="str">
        <f aca="false">IF($F113=0,"",_xlfn.MAXIFS('Training Log'!$I$5:$I$301,'Training Log'!$C$5:$C$301,$A113))</f>
        <v/>
      </c>
      <c r="E113" s="53" t="str">
        <f aca="false">IF($F113=0,"",_xlfn.MAXIFS('Training Log'!$E$5:$E$301,'Training Log'!$C$5:$C$301,$A113))</f>
        <v/>
      </c>
      <c r="F113" s="48" t="n">
        <f aca="false">COUNTIFS('Training Log'!$C$5:$C$301,$A113)</f>
        <v>0</v>
      </c>
      <c r="G113" s="53" t="str">
        <f aca="false">IF($F113=0,"",SUMIFS('Training Log'!$H$5:$H$301,'Training Log'!$C$5:$C$301,$A113))</f>
        <v/>
      </c>
      <c r="H113" s="55" t="str">
        <f aca="false">IF($F113=0,"",_xlfn.MAXIFS('Training Log'!$A$5:$A$301,'Training Log'!$C$5:$C$301,$A113))</f>
        <v/>
      </c>
    </row>
    <row r="114" customFormat="false" ht="15" hidden="false" customHeight="false" outlineLevel="0" collapsed="false">
      <c r="A114" s="54" t="s">
        <v>113</v>
      </c>
      <c r="B114" s="54" t="str">
        <f aca="false">IFERROR(INDEX(ExPrimary,MATCH($A114,ExName,0)),"")</f>
        <v>Quads</v>
      </c>
      <c r="C114" s="53" t="str">
        <f aca="false">IF(N(INDEX(Ex1RM,MATCH($A114,ExName,0)))=0,"",INDEX(Ex1RM,MATCH($A114,ExName,0)))</f>
        <v/>
      </c>
      <c r="D114" s="53" t="str">
        <f aca="false">IF($F114=0,"",_xlfn.MAXIFS('Training Log'!$I$5:$I$301,'Training Log'!$C$5:$C$301,$A114))</f>
        <v/>
      </c>
      <c r="E114" s="53" t="str">
        <f aca="false">IF($F114=0,"",_xlfn.MAXIFS('Training Log'!$E$5:$E$301,'Training Log'!$C$5:$C$301,$A114))</f>
        <v/>
      </c>
      <c r="F114" s="48" t="n">
        <f aca="false">COUNTIFS('Training Log'!$C$5:$C$301,$A114)</f>
        <v>0</v>
      </c>
      <c r="G114" s="53" t="str">
        <f aca="false">IF($F114=0,"",SUMIFS('Training Log'!$H$5:$H$301,'Training Log'!$C$5:$C$301,$A114))</f>
        <v/>
      </c>
      <c r="H114" s="55" t="str">
        <f aca="false">IF($F114=0,"",_xlfn.MAXIFS('Training Log'!$A$5:$A$301,'Training Log'!$C$5:$C$301,$A114))</f>
        <v/>
      </c>
    </row>
    <row r="115" customFormat="false" ht="15" hidden="false" customHeight="false" outlineLevel="0" collapsed="false">
      <c r="A115" s="54" t="s">
        <v>471</v>
      </c>
      <c r="B115" s="54" t="str">
        <f aca="false">IFERROR(INDEX(ExPrimary,MATCH($A115,ExName,0)),"")</f>
        <v>Core</v>
      </c>
      <c r="C115" s="53" t="str">
        <f aca="false">IF(N(INDEX(Ex1RM,MATCH($A115,ExName,0)))=0,"",INDEX(Ex1RM,MATCH($A115,ExName,0)))</f>
        <v/>
      </c>
      <c r="D115" s="53" t="str">
        <f aca="false">IF($F115=0,"",_xlfn.MAXIFS('Training Log'!$I$5:$I$301,'Training Log'!$C$5:$C$301,$A115))</f>
        <v/>
      </c>
      <c r="E115" s="53" t="str">
        <f aca="false">IF($F115=0,"",_xlfn.MAXIFS('Training Log'!$E$5:$E$301,'Training Log'!$C$5:$C$301,$A115))</f>
        <v/>
      </c>
      <c r="F115" s="48" t="n">
        <f aca="false">COUNTIFS('Training Log'!$C$5:$C$301,$A115)</f>
        <v>0</v>
      </c>
      <c r="G115" s="53" t="str">
        <f aca="false">IF($F115=0,"",SUMIFS('Training Log'!$H$5:$H$301,'Training Log'!$C$5:$C$301,$A115))</f>
        <v/>
      </c>
      <c r="H115" s="55" t="str">
        <f aca="false">IF($F115=0,"",_xlfn.MAXIFS('Training Log'!$A$5:$A$301,'Training Log'!$C$5:$C$301,$A115))</f>
        <v/>
      </c>
    </row>
    <row r="116" customFormat="false" ht="15" hidden="false" customHeight="false" outlineLevel="0" collapsed="false">
      <c r="A116" s="54" t="s">
        <v>457</v>
      </c>
      <c r="B116" s="54" t="str">
        <f aca="false">IFERROR(INDEX(ExPrimary,MATCH($A116,ExName,0)),"")</f>
        <v>Calves</v>
      </c>
      <c r="C116" s="53" t="str">
        <f aca="false">IF(N(INDEX(Ex1RM,MATCH($A116,ExName,0)))=0,"",INDEX(Ex1RM,MATCH($A116,ExName,0)))</f>
        <v/>
      </c>
      <c r="D116" s="53" t="str">
        <f aca="false">IF($F116=0,"",_xlfn.MAXIFS('Training Log'!$I$5:$I$301,'Training Log'!$C$5:$C$301,$A116))</f>
        <v/>
      </c>
      <c r="E116" s="53" t="str">
        <f aca="false">IF($F116=0,"",_xlfn.MAXIFS('Training Log'!$E$5:$E$301,'Training Log'!$C$5:$C$301,$A116))</f>
        <v/>
      </c>
      <c r="F116" s="48" t="n">
        <f aca="false">COUNTIFS('Training Log'!$C$5:$C$301,$A116)</f>
        <v>0</v>
      </c>
      <c r="G116" s="53" t="str">
        <f aca="false">IF($F116=0,"",SUMIFS('Training Log'!$H$5:$H$301,'Training Log'!$C$5:$C$301,$A116))</f>
        <v/>
      </c>
      <c r="H116" s="55" t="str">
        <f aca="false">IF($F116=0,"",_xlfn.MAXIFS('Training Log'!$A$5:$A$301,'Training Log'!$C$5:$C$301,$A116))</f>
        <v/>
      </c>
    </row>
    <row r="117" customFormat="false" ht="15" hidden="false" customHeight="false" outlineLevel="0" collapsed="false">
      <c r="A117" s="54" t="s">
        <v>388</v>
      </c>
      <c r="B117" s="54" t="str">
        <f aca="false">IFERROR(INDEX(ExPrimary,MATCH($A117,ExName,0)),"")</f>
        <v>Full body</v>
      </c>
      <c r="C117" s="53" t="str">
        <f aca="false">IF(N(INDEX(Ex1RM,MATCH($A117,ExName,0)))=0,"",INDEX(Ex1RM,MATCH($A117,ExName,0)))</f>
        <v/>
      </c>
      <c r="D117" s="53" t="str">
        <f aca="false">IF($F117=0,"",_xlfn.MAXIFS('Training Log'!$I$5:$I$301,'Training Log'!$C$5:$C$301,$A117))</f>
        <v/>
      </c>
      <c r="E117" s="53" t="str">
        <f aca="false">IF($F117=0,"",_xlfn.MAXIFS('Training Log'!$E$5:$E$301,'Training Log'!$C$5:$C$301,$A117))</f>
        <v/>
      </c>
      <c r="F117" s="48" t="n">
        <f aca="false">COUNTIFS('Training Log'!$C$5:$C$301,$A117)</f>
        <v>0</v>
      </c>
      <c r="G117" s="53" t="str">
        <f aca="false">IF($F117=0,"",SUMIFS('Training Log'!$H$5:$H$301,'Training Log'!$C$5:$C$301,$A117))</f>
        <v/>
      </c>
      <c r="H117" s="55" t="str">
        <f aca="false">IF($F117=0,"",_xlfn.MAXIFS('Training Log'!$A$5:$A$301,'Training Log'!$C$5:$C$301,$A117))</f>
        <v/>
      </c>
    </row>
    <row r="118" customFormat="false" ht="15" hidden="false" customHeight="false" outlineLevel="0" collapsed="false">
      <c r="A118" s="54" t="s">
        <v>401</v>
      </c>
      <c r="B118" s="54" t="str">
        <f aca="false">IFERROR(INDEX(ExPrimary,MATCH($A118,ExName,0)),"")</f>
        <v>Full body</v>
      </c>
      <c r="C118" s="53" t="str">
        <f aca="false">IF(N(INDEX(Ex1RM,MATCH($A118,ExName,0)))=0,"",INDEX(Ex1RM,MATCH($A118,ExName,0)))</f>
        <v/>
      </c>
      <c r="D118" s="53" t="str">
        <f aca="false">IF($F118=0,"",_xlfn.MAXIFS('Training Log'!$I$5:$I$301,'Training Log'!$C$5:$C$301,$A118))</f>
        <v/>
      </c>
      <c r="E118" s="53" t="str">
        <f aca="false">IF($F118=0,"",_xlfn.MAXIFS('Training Log'!$E$5:$E$301,'Training Log'!$C$5:$C$301,$A118))</f>
        <v/>
      </c>
      <c r="F118" s="48" t="n">
        <f aca="false">COUNTIFS('Training Log'!$C$5:$C$301,$A118)</f>
        <v>0</v>
      </c>
      <c r="G118" s="53" t="str">
        <f aca="false">IF($F118=0,"",SUMIFS('Training Log'!$H$5:$H$301,'Training Log'!$C$5:$C$301,$A118))</f>
        <v/>
      </c>
      <c r="H118" s="55" t="str">
        <f aca="false">IF($F118=0,"",_xlfn.MAXIFS('Training Log'!$A$5:$A$301,'Training Log'!$C$5:$C$301,$A118))</f>
        <v/>
      </c>
    </row>
    <row r="119" customFormat="false" ht="15" hidden="false" customHeight="false" outlineLevel="0" collapsed="false">
      <c r="A119" s="54" t="s">
        <v>562</v>
      </c>
      <c r="B119" s="54" t="str">
        <f aca="false">IFERROR(INDEX(ExPrimary,MATCH($A119,ExName,0)),"")</f>
        <v>Biceps</v>
      </c>
      <c r="C119" s="53" t="str">
        <f aca="false">IF(N(INDEX(Ex1RM,MATCH($A119,ExName,0)))=0,"",INDEX(Ex1RM,MATCH($A119,ExName,0)))</f>
        <v/>
      </c>
      <c r="D119" s="53" t="str">
        <f aca="false">IF($F119=0,"",_xlfn.MAXIFS('Training Log'!$I$5:$I$301,'Training Log'!$C$5:$C$301,$A119))</f>
        <v/>
      </c>
      <c r="E119" s="53" t="str">
        <f aca="false">IF($F119=0,"",_xlfn.MAXIFS('Training Log'!$E$5:$E$301,'Training Log'!$C$5:$C$301,$A119))</f>
        <v/>
      </c>
      <c r="F119" s="48" t="n">
        <f aca="false">COUNTIFS('Training Log'!$C$5:$C$301,$A119)</f>
        <v>0</v>
      </c>
      <c r="G119" s="53" t="str">
        <f aca="false">IF($F119=0,"",SUMIFS('Training Log'!$H$5:$H$301,'Training Log'!$C$5:$C$301,$A119))</f>
        <v/>
      </c>
      <c r="H119" s="55" t="str">
        <f aca="false">IF($F119=0,"",_xlfn.MAXIFS('Training Log'!$A$5:$A$301,'Training Log'!$C$5:$C$301,$A119))</f>
        <v/>
      </c>
    </row>
    <row r="120" customFormat="false" ht="15" hidden="false" customHeight="false" outlineLevel="0" collapsed="false">
      <c r="A120" s="54" t="s">
        <v>358</v>
      </c>
      <c r="B120" s="54" t="str">
        <f aca="false">IFERROR(INDEX(ExPrimary,MATCH($A120,ExName,0)),"")</f>
        <v>Back</v>
      </c>
      <c r="C120" s="53" t="str">
        <f aca="false">IF(N(INDEX(Ex1RM,MATCH($A120,ExName,0)))=0,"",INDEX(Ex1RM,MATCH($A120,ExName,0)))</f>
        <v/>
      </c>
      <c r="D120" s="53" t="str">
        <f aca="false">IF($F120=0,"",_xlfn.MAXIFS('Training Log'!$I$5:$I$301,'Training Log'!$C$5:$C$301,$A120))</f>
        <v/>
      </c>
      <c r="E120" s="53" t="str">
        <f aca="false">IF($F120=0,"",_xlfn.MAXIFS('Training Log'!$E$5:$E$301,'Training Log'!$C$5:$C$301,$A120))</f>
        <v/>
      </c>
      <c r="F120" s="48" t="n">
        <f aca="false">COUNTIFS('Training Log'!$C$5:$C$301,$A120)</f>
        <v>0</v>
      </c>
      <c r="G120" s="53" t="str">
        <f aca="false">IF($F120=0,"",SUMIFS('Training Log'!$H$5:$H$301,'Training Log'!$C$5:$C$301,$A120))</f>
        <v/>
      </c>
      <c r="H120" s="55" t="str">
        <f aca="false">IF($F120=0,"",_xlfn.MAXIFS('Training Log'!$A$5:$A$301,'Training Log'!$C$5:$C$301,$A120))</f>
        <v/>
      </c>
    </row>
    <row r="121" customFormat="false" ht="15" hidden="false" customHeight="false" outlineLevel="0" collapsed="false">
      <c r="A121" s="54" t="s">
        <v>284</v>
      </c>
      <c r="B121" s="54" t="str">
        <f aca="false">IFERROR(INDEX(ExPrimary,MATCH($A121,ExName,0)),"")</f>
        <v>Shoulders</v>
      </c>
      <c r="C121" s="53" t="str">
        <f aca="false">IF(N(INDEX(Ex1RM,MATCH($A121,ExName,0)))=0,"",INDEX(Ex1RM,MATCH($A121,ExName,0)))</f>
        <v/>
      </c>
      <c r="D121" s="53" t="str">
        <f aca="false">IF($F121=0,"",_xlfn.MAXIFS('Training Log'!$I$5:$I$301,'Training Log'!$C$5:$C$301,$A121))</f>
        <v/>
      </c>
      <c r="E121" s="53" t="str">
        <f aca="false">IF($F121=0,"",_xlfn.MAXIFS('Training Log'!$E$5:$E$301,'Training Log'!$C$5:$C$301,$A121))</f>
        <v/>
      </c>
      <c r="F121" s="48" t="n">
        <f aca="false">COUNTIFS('Training Log'!$C$5:$C$301,$A121)</f>
        <v>0</v>
      </c>
      <c r="G121" s="53" t="str">
        <f aca="false">IF($F121=0,"",SUMIFS('Training Log'!$H$5:$H$301,'Training Log'!$C$5:$C$301,$A121))</f>
        <v/>
      </c>
      <c r="H121" s="55" t="str">
        <f aca="false">IF($F121=0,"",_xlfn.MAXIFS('Training Log'!$A$5:$A$301,'Training Log'!$C$5:$C$301,$A121))</f>
        <v/>
      </c>
    </row>
    <row r="122" customFormat="false" ht="15" hidden="false" customHeight="false" outlineLevel="0" collapsed="false">
      <c r="A122" s="54" t="s">
        <v>280</v>
      </c>
      <c r="B122" s="54" t="str">
        <f aca="false">IFERROR(INDEX(ExPrimary,MATCH($A122,ExName,0)),"")</f>
        <v>Shoulders</v>
      </c>
      <c r="C122" s="53" t="str">
        <f aca="false">IF(N(INDEX(Ex1RM,MATCH($A122,ExName,0)))=0,"",INDEX(Ex1RM,MATCH($A122,ExName,0)))</f>
        <v/>
      </c>
      <c r="D122" s="53" t="str">
        <f aca="false">IF($F122=0,"",_xlfn.MAXIFS('Training Log'!$I$5:$I$301,'Training Log'!$C$5:$C$301,$A122))</f>
        <v/>
      </c>
      <c r="E122" s="53" t="str">
        <f aca="false">IF($F122=0,"",_xlfn.MAXIFS('Training Log'!$E$5:$E$301,'Training Log'!$C$5:$C$301,$A122))</f>
        <v/>
      </c>
      <c r="F122" s="48" t="n">
        <f aca="false">COUNTIFS('Training Log'!$C$5:$C$301,$A122)</f>
        <v>0</v>
      </c>
      <c r="G122" s="53" t="str">
        <f aca="false">IF($F122=0,"",SUMIFS('Training Log'!$H$5:$H$301,'Training Log'!$C$5:$C$301,$A122))</f>
        <v/>
      </c>
      <c r="H122" s="55" t="str">
        <f aca="false">IF($F122=0,"",_xlfn.MAXIFS('Training Log'!$A$5:$A$301,'Training Log'!$C$5:$C$301,$A122))</f>
        <v/>
      </c>
    </row>
    <row r="123" customFormat="false" ht="15" hidden="false" customHeight="false" outlineLevel="0" collapsed="false">
      <c r="A123" s="54" t="s">
        <v>245</v>
      </c>
      <c r="B123" s="54" t="str">
        <f aca="false">IFERROR(INDEX(ExPrimary,MATCH($A123,ExName,0)),"")</f>
        <v>Chest</v>
      </c>
      <c r="C123" s="53" t="str">
        <f aca="false">IF(N(INDEX(Ex1RM,MATCH($A123,ExName,0)))=0,"",INDEX(Ex1RM,MATCH($A123,ExName,0)))</f>
        <v/>
      </c>
      <c r="D123" s="53" t="str">
        <f aca="false">IF($F123=0,"",_xlfn.MAXIFS('Training Log'!$I$5:$I$301,'Training Log'!$C$5:$C$301,$A123))</f>
        <v/>
      </c>
      <c r="E123" s="53" t="str">
        <f aca="false">IF($F123=0,"",_xlfn.MAXIFS('Training Log'!$E$5:$E$301,'Training Log'!$C$5:$C$301,$A123))</f>
        <v/>
      </c>
      <c r="F123" s="48" t="n">
        <f aca="false">COUNTIFS('Training Log'!$C$5:$C$301,$A123)</f>
        <v>0</v>
      </c>
      <c r="G123" s="53" t="str">
        <f aca="false">IF($F123=0,"",SUMIFS('Training Log'!$H$5:$H$301,'Training Log'!$C$5:$C$301,$A123))</f>
        <v/>
      </c>
      <c r="H123" s="55" t="str">
        <f aca="false">IF($F123=0,"",_xlfn.MAXIFS('Training Log'!$A$5:$A$301,'Training Log'!$C$5:$C$301,$A123))</f>
        <v/>
      </c>
    </row>
    <row r="124" customFormat="false" ht="15" hidden="false" customHeight="false" outlineLevel="0" collapsed="false">
      <c r="A124" s="54" t="s">
        <v>140</v>
      </c>
      <c r="B124" s="54" t="str">
        <f aca="false">IFERROR(INDEX(ExPrimary,MATCH($A124,ExName,0)),"")</f>
        <v>Back</v>
      </c>
      <c r="C124" s="53" t="str">
        <f aca="false">IF(N(INDEX(Ex1RM,MATCH($A124,ExName,0)))=0,"",INDEX(Ex1RM,MATCH($A124,ExName,0)))</f>
        <v/>
      </c>
      <c r="D124" s="53" t="str">
        <f aca="false">IF($F124=0,"",_xlfn.MAXIFS('Training Log'!$I$5:$I$301,'Training Log'!$C$5:$C$301,$A124))</f>
        <v/>
      </c>
      <c r="E124" s="53" t="str">
        <f aca="false">IF($F124=0,"",_xlfn.MAXIFS('Training Log'!$E$5:$E$301,'Training Log'!$C$5:$C$301,$A124))</f>
        <v/>
      </c>
      <c r="F124" s="48" t="n">
        <f aca="false">COUNTIFS('Training Log'!$C$5:$C$301,$A124)</f>
        <v>0</v>
      </c>
      <c r="G124" s="53" t="str">
        <f aca="false">IF($F124=0,"",SUMIFS('Training Log'!$H$5:$H$301,'Training Log'!$C$5:$C$301,$A124))</f>
        <v/>
      </c>
      <c r="H124" s="55" t="str">
        <f aca="false">IF($F124=0,"",_xlfn.MAXIFS('Training Log'!$A$5:$A$301,'Training Log'!$C$5:$C$301,$A124))</f>
        <v/>
      </c>
    </row>
    <row r="125" customFormat="false" ht="15" hidden="false" customHeight="false" outlineLevel="0" collapsed="false">
      <c r="A125" s="54" t="s">
        <v>509</v>
      </c>
      <c r="B125" s="54" t="str">
        <f aca="false">IFERROR(INDEX(ExPrimary,MATCH($A125,ExName,0)),"")</f>
        <v>Core</v>
      </c>
      <c r="C125" s="53" t="str">
        <f aca="false">IF(N(INDEX(Ex1RM,MATCH($A125,ExName,0)))=0,"",INDEX(Ex1RM,MATCH($A125,ExName,0)))</f>
        <v/>
      </c>
      <c r="D125" s="53" t="str">
        <f aca="false">IF($F125=0,"",_xlfn.MAXIFS('Training Log'!$I$5:$I$301,'Training Log'!$C$5:$C$301,$A125))</f>
        <v/>
      </c>
      <c r="E125" s="53" t="str">
        <f aca="false">IF($F125=0,"",_xlfn.MAXIFS('Training Log'!$E$5:$E$301,'Training Log'!$C$5:$C$301,$A125))</f>
        <v/>
      </c>
      <c r="F125" s="48" t="n">
        <f aca="false">COUNTIFS('Training Log'!$C$5:$C$301,$A125)</f>
        <v>0</v>
      </c>
      <c r="G125" s="53" t="str">
        <f aca="false">IF($F125=0,"",SUMIFS('Training Log'!$H$5:$H$301,'Training Log'!$C$5:$C$301,$A125))</f>
        <v/>
      </c>
      <c r="H125" s="55" t="str">
        <f aca="false">IF($F125=0,"",_xlfn.MAXIFS('Training Log'!$A$5:$A$301,'Training Log'!$C$5:$C$301,$A125))</f>
        <v/>
      </c>
    </row>
    <row r="126" customFormat="false" ht="15" hidden="false" customHeight="false" outlineLevel="0" collapsed="false">
      <c r="A126" s="54" t="s">
        <v>571</v>
      </c>
      <c r="B126" s="54" t="str">
        <f aca="false">IFERROR(INDEX(ExPrimary,MATCH($A126,ExName,0)),"")</f>
        <v>Forearms</v>
      </c>
      <c r="C126" s="53" t="str">
        <f aca="false">IF(N(INDEX(Ex1RM,MATCH($A126,ExName,0)))=0,"",INDEX(Ex1RM,MATCH($A126,ExName,0)))</f>
        <v/>
      </c>
      <c r="D126" s="53" t="str">
        <f aca="false">IF($F126=0,"",_xlfn.MAXIFS('Training Log'!$I$5:$I$301,'Training Log'!$C$5:$C$301,$A126))</f>
        <v/>
      </c>
      <c r="E126" s="53" t="str">
        <f aca="false">IF($F126=0,"",_xlfn.MAXIFS('Training Log'!$E$5:$E$301,'Training Log'!$C$5:$C$301,$A126))</f>
        <v/>
      </c>
      <c r="F126" s="48" t="n">
        <f aca="false">COUNTIFS('Training Log'!$C$5:$C$301,$A126)</f>
        <v>0</v>
      </c>
      <c r="G126" s="53" t="str">
        <f aca="false">IF($F126=0,"",SUMIFS('Training Log'!$H$5:$H$301,'Training Log'!$C$5:$C$301,$A126))</f>
        <v/>
      </c>
      <c r="H126" s="55" t="str">
        <f aca="false">IF($F126=0,"",_xlfn.MAXIFS('Training Log'!$A$5:$A$301,'Training Log'!$C$5:$C$301,$A126))</f>
        <v/>
      </c>
    </row>
    <row r="127" customFormat="false" ht="15" hidden="false" customHeight="false" outlineLevel="0" collapsed="false">
      <c r="A127" s="54" t="s">
        <v>352</v>
      </c>
      <c r="B127" s="54" t="str">
        <f aca="false">IFERROR(INDEX(ExPrimary,MATCH($A127,ExName,0)),"")</f>
        <v>Shoulders</v>
      </c>
      <c r="C127" s="53" t="str">
        <f aca="false">IF(N(INDEX(Ex1RM,MATCH($A127,ExName,0)))=0,"",INDEX(Ex1RM,MATCH($A127,ExName,0)))</f>
        <v/>
      </c>
      <c r="D127" s="53" t="str">
        <f aca="false">IF($F127=0,"",_xlfn.MAXIFS('Training Log'!$I$5:$I$301,'Training Log'!$C$5:$C$301,$A127))</f>
        <v/>
      </c>
      <c r="E127" s="53" t="str">
        <f aca="false">IF($F127=0,"",_xlfn.MAXIFS('Training Log'!$E$5:$E$301,'Training Log'!$C$5:$C$301,$A127))</f>
        <v/>
      </c>
      <c r="F127" s="48" t="n">
        <f aca="false">COUNTIFS('Training Log'!$C$5:$C$301,$A127)</f>
        <v>0</v>
      </c>
      <c r="G127" s="53" t="str">
        <f aca="false">IF($F127=0,"",SUMIFS('Training Log'!$H$5:$H$301,'Training Log'!$C$5:$C$301,$A127))</f>
        <v/>
      </c>
      <c r="H127" s="55" t="str">
        <f aca="false">IF($F127=0,"",_xlfn.MAXIFS('Training Log'!$A$5:$A$301,'Training Log'!$C$5:$C$301,$A127))</f>
        <v/>
      </c>
    </row>
    <row r="128" customFormat="false" ht="15" hidden="false" customHeight="false" outlineLevel="0" collapsed="false">
      <c r="A128" s="54" t="s">
        <v>187</v>
      </c>
      <c r="B128" s="54" t="str">
        <f aca="false">IFERROR(INDEX(ExPrimary,MATCH($A128,ExName,0)),"")</f>
        <v>Glutes</v>
      </c>
      <c r="C128" s="53" t="str">
        <f aca="false">IF(N(INDEX(Ex1RM,MATCH($A128,ExName,0)))=0,"",INDEX(Ex1RM,MATCH($A128,ExName,0)))</f>
        <v/>
      </c>
      <c r="D128" s="53" t="str">
        <f aca="false">IF($F128=0,"",_xlfn.MAXIFS('Training Log'!$I$5:$I$301,'Training Log'!$C$5:$C$301,$A128))</f>
        <v/>
      </c>
      <c r="E128" s="53" t="str">
        <f aca="false">IF($F128=0,"",_xlfn.MAXIFS('Training Log'!$E$5:$E$301,'Training Log'!$C$5:$C$301,$A128))</f>
        <v/>
      </c>
      <c r="F128" s="48" t="n">
        <f aca="false">COUNTIFS('Training Log'!$C$5:$C$301,$A128)</f>
        <v>0</v>
      </c>
      <c r="G128" s="53" t="str">
        <f aca="false">IF($F128=0,"",SUMIFS('Training Log'!$H$5:$H$301,'Training Log'!$C$5:$C$301,$A128))</f>
        <v/>
      </c>
      <c r="H128" s="55" t="str">
        <f aca="false">IF($F128=0,"",_xlfn.MAXIFS('Training Log'!$A$5:$A$301,'Training Log'!$C$5:$C$301,$A128))</f>
        <v/>
      </c>
    </row>
    <row r="129" customFormat="false" ht="15" hidden="false" customHeight="false" outlineLevel="0" collapsed="false">
      <c r="A129" s="54" t="s">
        <v>259</v>
      </c>
      <c r="B129" s="54" t="str">
        <f aca="false">IFERROR(INDEX(ExPrimary,MATCH($A129,ExName,0)),"")</f>
        <v>Chest</v>
      </c>
      <c r="C129" s="53" t="str">
        <f aca="false">IF(N(INDEX(Ex1RM,MATCH($A129,ExName,0)))=0,"",INDEX(Ex1RM,MATCH($A129,ExName,0)))</f>
        <v/>
      </c>
      <c r="D129" s="53" t="str">
        <f aca="false">IF($F129=0,"",_xlfn.MAXIFS('Training Log'!$I$5:$I$301,'Training Log'!$C$5:$C$301,$A129))</f>
        <v/>
      </c>
      <c r="E129" s="53" t="str">
        <f aca="false">IF($F129=0,"",_xlfn.MAXIFS('Training Log'!$E$5:$E$301,'Training Log'!$C$5:$C$301,$A129))</f>
        <v/>
      </c>
      <c r="F129" s="48" t="n">
        <f aca="false">COUNTIFS('Training Log'!$C$5:$C$301,$A129)</f>
        <v>0</v>
      </c>
      <c r="G129" s="53" t="str">
        <f aca="false">IF($F129=0,"",SUMIFS('Training Log'!$H$5:$H$301,'Training Log'!$C$5:$C$301,$A129))</f>
        <v/>
      </c>
      <c r="H129" s="55" t="str">
        <f aca="false">IF($F129=0,"",_xlfn.MAXIFS('Training Log'!$A$5:$A$301,'Training Log'!$C$5:$C$301,$A129))</f>
        <v/>
      </c>
    </row>
    <row r="130" customFormat="false" ht="15" hidden="false" customHeight="false" outlineLevel="0" collapsed="false">
      <c r="A130" s="54" t="s">
        <v>252</v>
      </c>
      <c r="B130" s="54" t="str">
        <f aca="false">IFERROR(INDEX(ExPrimary,MATCH($A130,ExName,0)),"")</f>
        <v>Chest</v>
      </c>
      <c r="C130" s="53" t="str">
        <f aca="false">IF(N(INDEX(Ex1RM,MATCH($A130,ExName,0)))=0,"",INDEX(Ex1RM,MATCH($A130,ExName,0)))</f>
        <v/>
      </c>
      <c r="D130" s="53" t="str">
        <f aca="false">IF($F130=0,"",_xlfn.MAXIFS('Training Log'!$I$5:$I$301,'Training Log'!$C$5:$C$301,$A130))</f>
        <v/>
      </c>
      <c r="E130" s="53" t="str">
        <f aca="false">IF($F130=0,"",_xlfn.MAXIFS('Training Log'!$E$5:$E$301,'Training Log'!$C$5:$C$301,$A130))</f>
        <v/>
      </c>
      <c r="F130" s="48" t="n">
        <f aca="false">COUNTIFS('Training Log'!$C$5:$C$301,$A130)</f>
        <v>0</v>
      </c>
      <c r="G130" s="53" t="str">
        <f aca="false">IF($F130=0,"",SUMIFS('Training Log'!$H$5:$H$301,'Training Log'!$C$5:$C$301,$A130))</f>
        <v/>
      </c>
      <c r="H130" s="55" t="str">
        <f aca="false">IF($F130=0,"",_xlfn.MAXIFS('Training Log'!$A$5:$A$301,'Training Log'!$C$5:$C$301,$A130))</f>
        <v/>
      </c>
    </row>
    <row r="131" customFormat="false" ht="15" hidden="false" customHeight="false" outlineLevel="0" collapsed="false">
      <c r="A131" s="54" t="s">
        <v>342</v>
      </c>
      <c r="B131" s="54" t="str">
        <f aca="false">IFERROR(INDEX(ExPrimary,MATCH($A131,ExName,0)),"")</f>
        <v>Back</v>
      </c>
      <c r="C131" s="53" t="str">
        <f aca="false">IF(N(INDEX(Ex1RM,MATCH($A131,ExName,0)))=0,"",INDEX(Ex1RM,MATCH($A131,ExName,0)))</f>
        <v/>
      </c>
      <c r="D131" s="53" t="str">
        <f aca="false">IF($F131=0,"",_xlfn.MAXIFS('Training Log'!$I$5:$I$301,'Training Log'!$C$5:$C$301,$A131))</f>
        <v/>
      </c>
      <c r="E131" s="53" t="str">
        <f aca="false">IF($F131=0,"",_xlfn.MAXIFS('Training Log'!$E$5:$E$301,'Training Log'!$C$5:$C$301,$A131))</f>
        <v/>
      </c>
      <c r="F131" s="48" t="n">
        <f aca="false">COUNTIFS('Training Log'!$C$5:$C$301,$A131)</f>
        <v>0</v>
      </c>
      <c r="G131" s="53" t="str">
        <f aca="false">IF($F131=0,"",SUMIFS('Training Log'!$H$5:$H$301,'Training Log'!$C$5:$C$301,$A131))</f>
        <v/>
      </c>
      <c r="H131" s="55" t="str">
        <f aca="false">IF($F131=0,"",_xlfn.MAXIFS('Training Log'!$A$5:$A$301,'Training Log'!$C$5:$C$301,$A131))</f>
        <v/>
      </c>
    </row>
    <row r="132" customFormat="false" ht="15" hidden="false" customHeight="false" outlineLevel="0" collapsed="false">
      <c r="A132" s="54" t="s">
        <v>518</v>
      </c>
      <c r="B132" s="54" t="str">
        <f aca="false">IFERROR(INDEX(ExPrimary,MATCH($A132,ExName,0)),"")</f>
        <v>Shoulders</v>
      </c>
      <c r="C132" s="53" t="str">
        <f aca="false">IF(N(INDEX(Ex1RM,MATCH($A132,ExName,0)))=0,"",INDEX(Ex1RM,MATCH($A132,ExName,0)))</f>
        <v/>
      </c>
      <c r="D132" s="53" t="str">
        <f aca="false">IF($F132=0,"",_xlfn.MAXIFS('Training Log'!$I$5:$I$301,'Training Log'!$C$5:$C$301,$A132))</f>
        <v/>
      </c>
      <c r="E132" s="53" t="str">
        <f aca="false">IF($F132=0,"",_xlfn.MAXIFS('Training Log'!$E$5:$E$301,'Training Log'!$C$5:$C$301,$A132))</f>
        <v/>
      </c>
      <c r="F132" s="48" t="n">
        <f aca="false">COUNTIFS('Training Log'!$C$5:$C$301,$A132)</f>
        <v>0</v>
      </c>
      <c r="G132" s="53" t="str">
        <f aca="false">IF($F132=0,"",SUMIFS('Training Log'!$H$5:$H$301,'Training Log'!$C$5:$C$301,$A132))</f>
        <v/>
      </c>
      <c r="H132" s="55" t="str">
        <f aca="false">IF($F132=0,"",_xlfn.MAXIFS('Training Log'!$A$5:$A$301,'Training Log'!$C$5:$C$301,$A132))</f>
        <v/>
      </c>
    </row>
    <row r="133" customFormat="false" ht="15" hidden="false" customHeight="false" outlineLevel="0" collapsed="false">
      <c r="A133" s="54" t="s">
        <v>130</v>
      </c>
      <c r="B133" s="54" t="str">
        <f aca="false">IFERROR(INDEX(ExPrimary,MATCH($A133,ExName,0)),"")</f>
        <v>Hamstrings</v>
      </c>
      <c r="C133" s="53" t="str">
        <f aca="false">IF(N(INDEX(Ex1RM,MATCH($A133,ExName,0)))=0,"",INDEX(Ex1RM,MATCH($A133,ExName,0)))</f>
        <v/>
      </c>
      <c r="D133" s="53" t="str">
        <f aca="false">IF($F133=0,"",_xlfn.MAXIFS('Training Log'!$I$5:$I$301,'Training Log'!$C$5:$C$301,$A133))</f>
        <v/>
      </c>
      <c r="E133" s="53" t="str">
        <f aca="false">IF($F133=0,"",_xlfn.MAXIFS('Training Log'!$E$5:$E$301,'Training Log'!$C$5:$C$301,$A133))</f>
        <v/>
      </c>
      <c r="F133" s="48" t="n">
        <f aca="false">COUNTIFS('Training Log'!$C$5:$C$301,$A133)</f>
        <v>0</v>
      </c>
      <c r="G133" s="53" t="str">
        <f aca="false">IF($F133=0,"",SUMIFS('Training Log'!$H$5:$H$301,'Training Log'!$C$5:$C$301,$A133))</f>
        <v/>
      </c>
      <c r="H133" s="55" t="str">
        <f aca="false">IF($F133=0,"",_xlfn.MAXIFS('Training Log'!$A$5:$A$301,'Training Log'!$C$5:$C$301,$A133))</f>
        <v/>
      </c>
    </row>
    <row r="134" customFormat="false" ht="15" hidden="false" customHeight="false" outlineLevel="0" collapsed="false">
      <c r="A134" s="54" t="s">
        <v>465</v>
      </c>
      <c r="B134" s="54" t="str">
        <f aca="false">IFERROR(INDEX(ExPrimary,MATCH($A134,ExName,0)),"")</f>
        <v>Core</v>
      </c>
      <c r="C134" s="53" t="str">
        <f aca="false">IF(N(INDEX(Ex1RM,MATCH($A134,ExName,0)))=0,"",INDEX(Ex1RM,MATCH($A134,ExName,0)))</f>
        <v/>
      </c>
      <c r="D134" s="53" t="str">
        <f aca="false">IF($F134=0,"",_xlfn.MAXIFS('Training Log'!$I$5:$I$301,'Training Log'!$C$5:$C$301,$A134))</f>
        <v/>
      </c>
      <c r="E134" s="53" t="str">
        <f aca="false">IF($F134=0,"",_xlfn.MAXIFS('Training Log'!$E$5:$E$301,'Training Log'!$C$5:$C$301,$A134))</f>
        <v/>
      </c>
      <c r="F134" s="48" t="n">
        <f aca="false">COUNTIFS('Training Log'!$C$5:$C$301,$A134)</f>
        <v>0</v>
      </c>
      <c r="G134" s="53" t="str">
        <f aca="false">IF($F134=0,"",SUMIFS('Training Log'!$H$5:$H$301,'Training Log'!$C$5:$C$301,$A134))</f>
        <v/>
      </c>
      <c r="H134" s="55" t="str">
        <f aca="false">IF($F134=0,"",_xlfn.MAXIFS('Training Log'!$A$5:$A$301,'Training Log'!$C$5:$C$301,$A134))</f>
        <v/>
      </c>
    </row>
    <row r="135" customFormat="false" ht="15" hidden="false" customHeight="false" outlineLevel="0" collapsed="false">
      <c r="A135" s="54" t="s">
        <v>500</v>
      </c>
      <c r="B135" s="54" t="str">
        <f aca="false">IFERROR(INDEX(ExPrimary,MATCH($A135,ExName,0)),"")</f>
        <v>Core</v>
      </c>
      <c r="C135" s="53" t="str">
        <f aca="false">IF(N(INDEX(Ex1RM,MATCH($A135,ExName,0)))=0,"",INDEX(Ex1RM,MATCH($A135,ExName,0)))</f>
        <v/>
      </c>
      <c r="D135" s="53" t="str">
        <f aca="false">IF($F135=0,"",_xlfn.MAXIFS('Training Log'!$I$5:$I$301,'Training Log'!$C$5:$C$301,$A135))</f>
        <v/>
      </c>
      <c r="E135" s="53" t="str">
        <f aca="false">IF($F135=0,"",_xlfn.MAXIFS('Training Log'!$E$5:$E$301,'Training Log'!$C$5:$C$301,$A135))</f>
        <v/>
      </c>
      <c r="F135" s="48" t="n">
        <f aca="false">COUNTIFS('Training Log'!$C$5:$C$301,$A135)</f>
        <v>0</v>
      </c>
      <c r="G135" s="53" t="str">
        <f aca="false">IF($F135=0,"",SUMIFS('Training Log'!$H$5:$H$301,'Training Log'!$C$5:$C$301,$A135))</f>
        <v/>
      </c>
      <c r="H135" s="55" t="str">
        <f aca="false">IF($F135=0,"",_xlfn.MAXIFS('Training Log'!$A$5:$A$301,'Training Log'!$C$5:$C$301,$A135))</f>
        <v/>
      </c>
    </row>
    <row r="136" customFormat="false" ht="15" hidden="false" customHeight="false" outlineLevel="0" collapsed="false">
      <c r="A136" s="54" t="s">
        <v>90</v>
      </c>
      <c r="B136" s="54" t="str">
        <f aca="false">IFERROR(INDEX(ExPrimary,MATCH($A136,ExName,0)),"")</f>
        <v>Quads</v>
      </c>
      <c r="C136" s="53" t="str">
        <f aca="false">IF(N(INDEX(Ex1RM,MATCH($A136,ExName,0)))=0,"",INDEX(Ex1RM,MATCH($A136,ExName,0)))</f>
        <v/>
      </c>
      <c r="D136" s="53" t="str">
        <f aca="false">IF($F136=0,"",_xlfn.MAXIFS('Training Log'!$I$5:$I$301,'Training Log'!$C$5:$C$301,$A136))</f>
        <v/>
      </c>
      <c r="E136" s="53" t="str">
        <f aca="false">IF($F136=0,"",_xlfn.MAXIFS('Training Log'!$E$5:$E$301,'Training Log'!$C$5:$C$301,$A136))</f>
        <v/>
      </c>
      <c r="F136" s="48" t="n">
        <f aca="false">COUNTIFS('Training Log'!$C$5:$C$301,$A136)</f>
        <v>0</v>
      </c>
      <c r="G136" s="53" t="str">
        <f aca="false">IF($F136=0,"",SUMIFS('Training Log'!$H$5:$H$301,'Training Log'!$C$5:$C$301,$A136))</f>
        <v/>
      </c>
      <c r="H136" s="55" t="str">
        <f aca="false">IF($F136=0,"",_xlfn.MAXIFS('Training Log'!$A$5:$A$301,'Training Log'!$C$5:$C$301,$A136))</f>
        <v/>
      </c>
    </row>
    <row r="137" customFormat="false" ht="15" hidden="false" customHeight="false" outlineLevel="0" collapsed="false">
      <c r="A137" s="54" t="s">
        <v>329</v>
      </c>
      <c r="B137" s="54" t="str">
        <f aca="false">IFERROR(INDEX(ExPrimary,MATCH($A137,ExName,0)),"")</f>
        <v>Back</v>
      </c>
      <c r="C137" s="53" t="str">
        <f aca="false">IF(N(INDEX(Ex1RM,MATCH($A137,ExName,0)))=0,"",INDEX(Ex1RM,MATCH($A137,ExName,0)))</f>
        <v/>
      </c>
      <c r="D137" s="53" t="str">
        <f aca="false">IF($F137=0,"",_xlfn.MAXIFS('Training Log'!$I$5:$I$301,'Training Log'!$C$5:$C$301,$A137))</f>
        <v/>
      </c>
      <c r="E137" s="53" t="str">
        <f aca="false">IF($F137=0,"",_xlfn.MAXIFS('Training Log'!$E$5:$E$301,'Training Log'!$C$5:$C$301,$A137))</f>
        <v/>
      </c>
      <c r="F137" s="48" t="n">
        <f aca="false">COUNTIFS('Training Log'!$C$5:$C$301,$A137)</f>
        <v>0</v>
      </c>
      <c r="G137" s="53" t="str">
        <f aca="false">IF($F137=0,"",SUMIFS('Training Log'!$H$5:$H$301,'Training Log'!$C$5:$C$301,$A137))</f>
        <v/>
      </c>
      <c r="H137" s="55" t="str">
        <f aca="false">IF($F137=0,"",_xlfn.MAXIFS('Training Log'!$A$5:$A$301,'Training Log'!$C$5:$C$301,$A137))</f>
        <v/>
      </c>
    </row>
    <row r="138" customFormat="false" ht="15" hidden="false" customHeight="false" outlineLevel="0" collapsed="false">
      <c r="A138" s="54" t="s">
        <v>629</v>
      </c>
      <c r="B138" s="54" t="str">
        <f aca="false">IFERROR(INDEX(ExPrimary,MATCH($A138,ExName,0)),"")</f>
        <v>Calves</v>
      </c>
      <c r="C138" s="53" t="str">
        <f aca="false">IF(N(INDEX(Ex1RM,MATCH($A138,ExName,0)))=0,"",INDEX(Ex1RM,MATCH($A138,ExName,0)))</f>
        <v/>
      </c>
      <c r="D138" s="53" t="str">
        <f aca="false">IF($F138=0,"",_xlfn.MAXIFS('Training Log'!$I$5:$I$301,'Training Log'!$C$5:$C$301,$A138))</f>
        <v/>
      </c>
      <c r="E138" s="53" t="str">
        <f aca="false">IF($F138=0,"",_xlfn.MAXIFS('Training Log'!$E$5:$E$301,'Training Log'!$C$5:$C$301,$A138))</f>
        <v/>
      </c>
      <c r="F138" s="48" t="n">
        <f aca="false">COUNTIFS('Training Log'!$C$5:$C$301,$A138)</f>
        <v>0</v>
      </c>
      <c r="G138" s="53" t="str">
        <f aca="false">IF($F138=0,"",SUMIFS('Training Log'!$H$5:$H$301,'Training Log'!$C$5:$C$301,$A138))</f>
        <v/>
      </c>
      <c r="H138" s="55" t="str">
        <f aca="false">IF($F138=0,"",_xlfn.MAXIFS('Training Log'!$A$5:$A$301,'Training Log'!$C$5:$C$301,$A138))</f>
        <v/>
      </c>
    </row>
    <row r="139" customFormat="false" ht="15" hidden="false" customHeight="false" outlineLevel="0" collapsed="false">
      <c r="A139" s="54" t="s">
        <v>288</v>
      </c>
      <c r="B139" s="54" t="str">
        <f aca="false">IFERROR(INDEX(ExPrimary,MATCH($A139,ExName,0)),"")</f>
        <v>Shoulders</v>
      </c>
      <c r="C139" s="53" t="str">
        <f aca="false">IF(N(INDEX(Ex1RM,MATCH($A139,ExName,0)))=0,"",INDEX(Ex1RM,MATCH($A139,ExName,0)))</f>
        <v/>
      </c>
      <c r="D139" s="53" t="str">
        <f aca="false">IF($F139=0,"",_xlfn.MAXIFS('Training Log'!$I$5:$I$301,'Training Log'!$C$5:$C$301,$A139))</f>
        <v/>
      </c>
      <c r="E139" s="53" t="str">
        <f aca="false">IF($F139=0,"",_xlfn.MAXIFS('Training Log'!$E$5:$E$301,'Training Log'!$C$5:$C$301,$A139))</f>
        <v/>
      </c>
      <c r="F139" s="48" t="n">
        <f aca="false">COUNTIFS('Training Log'!$C$5:$C$301,$A139)</f>
        <v>0</v>
      </c>
      <c r="G139" s="53" t="str">
        <f aca="false">IF($F139=0,"",SUMIFS('Training Log'!$H$5:$H$301,'Training Log'!$C$5:$C$301,$A139))</f>
        <v/>
      </c>
      <c r="H139" s="55" t="str">
        <f aca="false">IF($F139=0,"",_xlfn.MAXIFS('Training Log'!$A$5:$A$301,'Training Log'!$C$5:$C$301,$A139))</f>
        <v/>
      </c>
    </row>
    <row r="140" customFormat="false" ht="15" hidden="false" customHeight="false" outlineLevel="0" collapsed="false">
      <c r="A140" s="54" t="s">
        <v>623</v>
      </c>
      <c r="B140" s="54" t="str">
        <f aca="false">IFERROR(INDEX(ExPrimary,MATCH($A140,ExName,0)),"")</f>
        <v>Hamstrings</v>
      </c>
      <c r="C140" s="53" t="str">
        <f aca="false">IF(N(INDEX(Ex1RM,MATCH($A140,ExName,0)))=0,"",INDEX(Ex1RM,MATCH($A140,ExName,0)))</f>
        <v/>
      </c>
      <c r="D140" s="53" t="str">
        <f aca="false">IF($F140=0,"",_xlfn.MAXIFS('Training Log'!$I$5:$I$301,'Training Log'!$C$5:$C$301,$A140))</f>
        <v/>
      </c>
      <c r="E140" s="53" t="str">
        <f aca="false">IF($F140=0,"",_xlfn.MAXIFS('Training Log'!$E$5:$E$301,'Training Log'!$C$5:$C$301,$A140))</f>
        <v/>
      </c>
      <c r="F140" s="48" t="n">
        <f aca="false">COUNTIFS('Training Log'!$C$5:$C$301,$A140)</f>
        <v>0</v>
      </c>
      <c r="G140" s="53" t="str">
        <f aca="false">IF($F140=0,"",SUMIFS('Training Log'!$H$5:$H$301,'Training Log'!$C$5:$C$301,$A140))</f>
        <v/>
      </c>
      <c r="H140" s="55" t="str">
        <f aca="false">IF($F140=0,"",_xlfn.MAXIFS('Training Log'!$A$5:$A$301,'Training Log'!$C$5:$C$301,$A140))</f>
        <v/>
      </c>
    </row>
    <row r="141" customFormat="false" ht="15" hidden="false" customHeight="false" outlineLevel="0" collapsed="false">
      <c r="A141" s="54" t="s">
        <v>475</v>
      </c>
      <c r="B141" s="54" t="str">
        <f aca="false">IFERROR(INDEX(ExPrimary,MATCH($A141,ExName,0)),"")</f>
        <v>Core</v>
      </c>
      <c r="C141" s="53" t="str">
        <f aca="false">IF(N(INDEX(Ex1RM,MATCH($A141,ExName,0)))=0,"",INDEX(Ex1RM,MATCH($A141,ExName,0)))</f>
        <v/>
      </c>
      <c r="D141" s="53" t="str">
        <f aca="false">IF($F141=0,"",_xlfn.MAXIFS('Training Log'!$I$5:$I$301,'Training Log'!$C$5:$C$301,$A141))</f>
        <v/>
      </c>
      <c r="E141" s="53" t="str">
        <f aca="false">IF($F141=0,"",_xlfn.MAXIFS('Training Log'!$E$5:$E$301,'Training Log'!$C$5:$C$301,$A141))</f>
        <v/>
      </c>
      <c r="F141" s="48" t="n">
        <f aca="false">COUNTIFS('Training Log'!$C$5:$C$301,$A141)</f>
        <v>0</v>
      </c>
      <c r="G141" s="53" t="str">
        <f aca="false">IF($F141=0,"",SUMIFS('Training Log'!$H$5:$H$301,'Training Log'!$C$5:$C$301,$A141))</f>
        <v/>
      </c>
      <c r="H141" s="55" t="str">
        <f aca="false">IF($F141=0,"",_xlfn.MAXIFS('Training Log'!$A$5:$A$301,'Training Log'!$C$5:$C$301,$A141))</f>
        <v/>
      </c>
    </row>
    <row r="142" customFormat="false" ht="15" hidden="false" customHeight="false" outlineLevel="0" collapsed="false">
      <c r="A142" s="54" t="s">
        <v>300</v>
      </c>
      <c r="B142" s="54" t="str">
        <f aca="false">IFERROR(INDEX(ExPrimary,MATCH($A142,ExName,0)),"")</f>
        <v>Shoulders</v>
      </c>
      <c r="C142" s="53" t="str">
        <f aca="false">IF(N(INDEX(Ex1RM,MATCH($A142,ExName,0)))=0,"",INDEX(Ex1RM,MATCH($A142,ExName,0)))</f>
        <v/>
      </c>
      <c r="D142" s="53" t="str">
        <f aca="false">IF($F142=0,"",_xlfn.MAXIFS('Training Log'!$I$5:$I$301,'Training Log'!$C$5:$C$301,$A142))</f>
        <v/>
      </c>
      <c r="E142" s="53" t="str">
        <f aca="false">IF($F142=0,"",_xlfn.MAXIFS('Training Log'!$E$5:$E$301,'Training Log'!$C$5:$C$301,$A142))</f>
        <v/>
      </c>
      <c r="F142" s="48" t="n">
        <f aca="false">COUNTIFS('Training Log'!$C$5:$C$301,$A142)</f>
        <v>0</v>
      </c>
      <c r="G142" s="53" t="str">
        <f aca="false">IF($F142=0,"",SUMIFS('Training Log'!$H$5:$H$301,'Training Log'!$C$5:$C$301,$A142))</f>
        <v/>
      </c>
      <c r="H142" s="55" t="str">
        <f aca="false">IF($F142=0,"",_xlfn.MAXIFS('Training Log'!$A$5:$A$301,'Training Log'!$C$5:$C$301,$A142))</f>
        <v/>
      </c>
    </row>
    <row r="143" customFormat="false" ht="15" hidden="false" customHeight="false" outlineLevel="0" collapsed="false">
      <c r="A143" s="54" t="s">
        <v>159</v>
      </c>
      <c r="B143" s="54" t="str">
        <f aca="false">IFERROR(INDEX(ExPrimary,MATCH($A143,ExName,0)),"")</f>
        <v>Hamstrings</v>
      </c>
      <c r="C143" s="53" t="str">
        <f aca="false">IF(N(INDEX(Ex1RM,MATCH($A143,ExName,0)))=0,"",INDEX(Ex1RM,MATCH($A143,ExName,0)))</f>
        <v/>
      </c>
      <c r="D143" s="53" t="str">
        <f aca="false">IF($F143=0,"",_xlfn.MAXIFS('Training Log'!$I$5:$I$301,'Training Log'!$C$5:$C$301,$A143))</f>
        <v/>
      </c>
      <c r="E143" s="53" t="str">
        <f aca="false">IF($F143=0,"",_xlfn.MAXIFS('Training Log'!$E$5:$E$301,'Training Log'!$C$5:$C$301,$A143))</f>
        <v/>
      </c>
      <c r="F143" s="48" t="n">
        <f aca="false">COUNTIFS('Training Log'!$C$5:$C$301,$A143)</f>
        <v>0</v>
      </c>
      <c r="G143" s="53" t="str">
        <f aca="false">IF($F143=0,"",SUMIFS('Training Log'!$H$5:$H$301,'Training Log'!$C$5:$C$301,$A143))</f>
        <v/>
      </c>
      <c r="H143" s="55" t="str">
        <f aca="false">IF($F143=0,"",_xlfn.MAXIFS('Training Log'!$A$5:$A$301,'Training Log'!$C$5:$C$301,$A143))</f>
        <v/>
      </c>
    </row>
    <row r="144" customFormat="false" ht="15" hidden="false" customHeight="false" outlineLevel="0" collapsed="false">
      <c r="A144" s="54" t="s">
        <v>209</v>
      </c>
      <c r="B144" s="54" t="str">
        <f aca="false">IFERROR(INDEX(ExPrimary,MATCH($A144,ExName,0)),"")</f>
        <v>Quads</v>
      </c>
      <c r="C144" s="53" t="str">
        <f aca="false">IF(N(INDEX(Ex1RM,MATCH($A144,ExName,0)))=0,"",INDEX(Ex1RM,MATCH($A144,ExName,0)))</f>
        <v/>
      </c>
      <c r="D144" s="53" t="str">
        <f aca="false">IF($F144=0,"",_xlfn.MAXIFS('Training Log'!$I$5:$I$301,'Training Log'!$C$5:$C$301,$A144))</f>
        <v/>
      </c>
      <c r="E144" s="53" t="str">
        <f aca="false">IF($F144=0,"",_xlfn.MAXIFS('Training Log'!$E$5:$E$301,'Training Log'!$C$5:$C$301,$A144))</f>
        <v/>
      </c>
      <c r="F144" s="48" t="n">
        <f aca="false">COUNTIFS('Training Log'!$C$5:$C$301,$A144)</f>
        <v>0</v>
      </c>
      <c r="G144" s="53" t="str">
        <f aca="false">IF($F144=0,"",SUMIFS('Training Log'!$H$5:$H$301,'Training Log'!$C$5:$C$301,$A144))</f>
        <v/>
      </c>
      <c r="H144" s="55" t="str">
        <f aca="false">IF($F144=0,"",_xlfn.MAXIFS('Training Log'!$A$5:$A$301,'Training Log'!$C$5:$C$301,$A144))</f>
        <v/>
      </c>
    </row>
    <row r="145" customFormat="false" ht="15" hidden="false" customHeight="false" outlineLevel="0" collapsed="false">
      <c r="A145" s="54" t="s">
        <v>580</v>
      </c>
      <c r="B145" s="54" t="str">
        <f aca="false">IFERROR(INDEX(ExPrimary,MATCH($A145,ExName,0)),"")</f>
        <v>Triceps</v>
      </c>
      <c r="C145" s="53" t="str">
        <f aca="false">IF(N(INDEX(Ex1RM,MATCH($A145,ExName,0)))=0,"",INDEX(Ex1RM,MATCH($A145,ExName,0)))</f>
        <v/>
      </c>
      <c r="D145" s="53" t="str">
        <f aca="false">IF($F145=0,"",_xlfn.MAXIFS('Training Log'!$I$5:$I$301,'Training Log'!$C$5:$C$301,$A145))</f>
        <v/>
      </c>
      <c r="E145" s="53" t="str">
        <f aca="false">IF($F145=0,"",_xlfn.MAXIFS('Training Log'!$E$5:$E$301,'Training Log'!$C$5:$C$301,$A145))</f>
        <v/>
      </c>
      <c r="F145" s="48" t="n">
        <f aca="false">COUNTIFS('Training Log'!$C$5:$C$301,$A145)</f>
        <v>0</v>
      </c>
      <c r="G145" s="53" t="str">
        <f aca="false">IF($F145=0,"",SUMIFS('Training Log'!$H$5:$H$301,'Training Log'!$C$5:$C$301,$A145))</f>
        <v/>
      </c>
      <c r="H145" s="55" t="str">
        <f aca="false">IF($F145=0,"",_xlfn.MAXIFS('Training Log'!$A$5:$A$301,'Training Log'!$C$5:$C$301,$A145))</f>
        <v/>
      </c>
    </row>
    <row r="146" customFormat="false" ht="15" hidden="false" customHeight="false" outlineLevel="0" collapsed="false">
      <c r="A146" s="54" t="s">
        <v>548</v>
      </c>
      <c r="B146" s="54" t="str">
        <f aca="false">IFERROR(INDEX(ExPrimary,MATCH($A146,ExName,0)),"")</f>
        <v>Hamstrings</v>
      </c>
      <c r="C146" s="53" t="str">
        <f aca="false">IF(N(INDEX(Ex1RM,MATCH($A146,ExName,0)))=0,"",INDEX(Ex1RM,MATCH($A146,ExName,0)))</f>
        <v/>
      </c>
      <c r="D146" s="53" t="str">
        <f aca="false">IF($F146=0,"",_xlfn.MAXIFS('Training Log'!$I$5:$I$301,'Training Log'!$C$5:$C$301,$A146))</f>
        <v/>
      </c>
      <c r="E146" s="53" t="str">
        <f aca="false">IF($F146=0,"",_xlfn.MAXIFS('Training Log'!$E$5:$E$301,'Training Log'!$C$5:$C$301,$A146))</f>
        <v/>
      </c>
      <c r="F146" s="48" t="n">
        <f aca="false">COUNTIFS('Training Log'!$C$5:$C$301,$A146)</f>
        <v>0</v>
      </c>
      <c r="G146" s="53" t="str">
        <f aca="false">IF($F146=0,"",SUMIFS('Training Log'!$H$5:$H$301,'Training Log'!$C$5:$C$301,$A146))</f>
        <v/>
      </c>
      <c r="H146" s="55" t="str">
        <f aca="false">IF($F146=0,"",_xlfn.MAXIFS('Training Log'!$A$5:$A$301,'Training Log'!$C$5:$C$301,$A146))</f>
        <v/>
      </c>
    </row>
    <row r="147" customFormat="false" ht="15" hidden="false" customHeight="false" outlineLevel="0" collapsed="false">
      <c r="A147" s="54" t="s">
        <v>545</v>
      </c>
      <c r="B147" s="54" t="str">
        <f aca="false">IFERROR(INDEX(ExPrimary,MATCH($A147,ExName,0)),"")</f>
        <v>Quads</v>
      </c>
      <c r="C147" s="53" t="str">
        <f aca="false">IF(N(INDEX(Ex1RM,MATCH($A147,ExName,0)))=0,"",INDEX(Ex1RM,MATCH($A147,ExName,0)))</f>
        <v/>
      </c>
      <c r="D147" s="53" t="str">
        <f aca="false">IF($F147=0,"",_xlfn.MAXIFS('Training Log'!$I$5:$I$301,'Training Log'!$C$5:$C$301,$A147))</f>
        <v/>
      </c>
      <c r="E147" s="53" t="str">
        <f aca="false">IF($F147=0,"",_xlfn.MAXIFS('Training Log'!$E$5:$E$301,'Training Log'!$C$5:$C$301,$A147))</f>
        <v/>
      </c>
      <c r="F147" s="48" t="n">
        <f aca="false">COUNTIFS('Training Log'!$C$5:$C$301,$A147)</f>
        <v>0</v>
      </c>
      <c r="G147" s="53" t="str">
        <f aca="false">IF($F147=0,"",SUMIFS('Training Log'!$H$5:$H$301,'Training Log'!$C$5:$C$301,$A147))</f>
        <v/>
      </c>
      <c r="H147" s="55" t="str">
        <f aca="false">IF($F147=0,"",_xlfn.MAXIFS('Training Log'!$A$5:$A$301,'Training Log'!$C$5:$C$301,$A147))</f>
        <v/>
      </c>
    </row>
    <row r="148" customFormat="false" ht="15" hidden="false" customHeight="false" outlineLevel="0" collapsed="false">
      <c r="A148" s="54" t="s">
        <v>412</v>
      </c>
      <c r="B148" s="54" t="str">
        <f aca="false">IFERROR(INDEX(ExPrimary,MATCH($A148,ExName,0)),"")</f>
        <v>Traps</v>
      </c>
      <c r="C148" s="53" t="str">
        <f aca="false">IF(N(INDEX(Ex1RM,MATCH($A148,ExName,0)))=0,"",INDEX(Ex1RM,MATCH($A148,ExName,0)))</f>
        <v/>
      </c>
      <c r="D148" s="53" t="str">
        <f aca="false">IF($F148=0,"",_xlfn.MAXIFS('Training Log'!$I$5:$I$301,'Training Log'!$C$5:$C$301,$A148))</f>
        <v/>
      </c>
      <c r="E148" s="53" t="str">
        <f aca="false">IF($F148=0,"",_xlfn.MAXIFS('Training Log'!$E$5:$E$301,'Training Log'!$C$5:$C$301,$A148))</f>
        <v/>
      </c>
      <c r="F148" s="48" t="n">
        <f aca="false">COUNTIFS('Training Log'!$C$5:$C$301,$A148)</f>
        <v>0</v>
      </c>
      <c r="G148" s="53" t="str">
        <f aca="false">IF($F148=0,"",SUMIFS('Training Log'!$H$5:$H$301,'Training Log'!$C$5:$C$301,$A148))</f>
        <v/>
      </c>
      <c r="H148" s="55" t="str">
        <f aca="false">IF($F148=0,"",_xlfn.MAXIFS('Training Log'!$A$5:$A$301,'Training Log'!$C$5:$C$301,$A148))</f>
        <v/>
      </c>
    </row>
    <row r="149" customFormat="false" ht="15" hidden="false" customHeight="false" outlineLevel="0" collapsed="false">
      <c r="A149" s="54" t="s">
        <v>233</v>
      </c>
      <c r="B149" s="54" t="str">
        <f aca="false">IFERROR(INDEX(ExPrimary,MATCH($A149,ExName,0)),"")</f>
        <v>Chest</v>
      </c>
      <c r="C149" s="53" t="str">
        <f aca="false">IF(N(INDEX(Ex1RM,MATCH($A149,ExName,0)))=0,"",INDEX(Ex1RM,MATCH($A149,ExName,0)))</f>
        <v/>
      </c>
      <c r="D149" s="53" t="str">
        <f aca="false">IF($F149=0,"",_xlfn.MAXIFS('Training Log'!$I$5:$I$301,'Training Log'!$C$5:$C$301,$A149))</f>
        <v/>
      </c>
      <c r="E149" s="53" t="str">
        <f aca="false">IF($F149=0,"",_xlfn.MAXIFS('Training Log'!$E$5:$E$301,'Training Log'!$C$5:$C$301,$A149))</f>
        <v/>
      </c>
      <c r="F149" s="48" t="n">
        <f aca="false">COUNTIFS('Training Log'!$C$5:$C$301,$A149)</f>
        <v>0</v>
      </c>
      <c r="G149" s="53" t="str">
        <f aca="false">IF($F149=0,"",SUMIFS('Training Log'!$H$5:$H$301,'Training Log'!$C$5:$C$301,$A149))</f>
        <v/>
      </c>
      <c r="H149" s="55" t="str">
        <f aca="false">IF($F149=0,"",_xlfn.MAXIFS('Training Log'!$A$5:$A$301,'Training Log'!$C$5:$C$301,$A149))</f>
        <v/>
      </c>
    </row>
    <row r="150" customFormat="false" ht="15" hidden="false" customHeight="false" outlineLevel="0" collapsed="false">
      <c r="A150" s="54" t="s">
        <v>626</v>
      </c>
      <c r="B150" s="54" t="str">
        <f aca="false">IFERROR(INDEX(ExPrimary,MATCH($A150,ExName,0)),"")</f>
        <v>Calves</v>
      </c>
      <c r="C150" s="53" t="str">
        <f aca="false">IF(N(INDEX(Ex1RM,MATCH($A150,ExName,0)))=0,"",INDEX(Ex1RM,MATCH($A150,ExName,0)))</f>
        <v/>
      </c>
      <c r="D150" s="53" t="str">
        <f aca="false">IF($F150=0,"",_xlfn.MAXIFS('Training Log'!$I$5:$I$301,'Training Log'!$C$5:$C$301,$A150))</f>
        <v/>
      </c>
      <c r="E150" s="53" t="str">
        <f aca="false">IF($F150=0,"",_xlfn.MAXIFS('Training Log'!$E$5:$E$301,'Training Log'!$C$5:$C$301,$A150))</f>
        <v/>
      </c>
      <c r="F150" s="48" t="n">
        <f aca="false">COUNTIFS('Training Log'!$C$5:$C$301,$A150)</f>
        <v>0</v>
      </c>
      <c r="G150" s="53" t="str">
        <f aca="false">IF($F150=0,"",SUMIFS('Training Log'!$H$5:$H$301,'Training Log'!$C$5:$C$301,$A150))</f>
        <v/>
      </c>
      <c r="H150" s="55" t="str">
        <f aca="false">IF($F150=0,"",_xlfn.MAXIFS('Training Log'!$A$5:$A$301,'Training Log'!$C$5:$C$301,$A150))</f>
        <v/>
      </c>
    </row>
    <row r="151" customFormat="false" ht="15" hidden="false" customHeight="false" outlineLevel="0" collapsed="false">
      <c r="A151" s="54" t="s">
        <v>291</v>
      </c>
      <c r="B151" s="54" t="str">
        <f aca="false">IFERROR(INDEX(ExPrimary,MATCH($A151,ExName,0)),"")</f>
        <v>Shoulders</v>
      </c>
      <c r="C151" s="53" t="str">
        <f aca="false">IF(N(INDEX(Ex1RM,MATCH($A151,ExName,0)))=0,"",INDEX(Ex1RM,MATCH($A151,ExName,0)))</f>
        <v/>
      </c>
      <c r="D151" s="53" t="str">
        <f aca="false">IF($F151=0,"",_xlfn.MAXIFS('Training Log'!$I$5:$I$301,'Training Log'!$C$5:$C$301,$A151))</f>
        <v/>
      </c>
      <c r="E151" s="53" t="str">
        <f aca="false">IF($F151=0,"",_xlfn.MAXIFS('Training Log'!$E$5:$E$301,'Training Log'!$C$5:$C$301,$A151))</f>
        <v/>
      </c>
      <c r="F151" s="48" t="n">
        <f aca="false">COUNTIFS('Training Log'!$C$5:$C$301,$A151)</f>
        <v>0</v>
      </c>
      <c r="G151" s="53" t="str">
        <f aca="false">IF($F151=0,"",SUMIFS('Training Log'!$H$5:$H$301,'Training Log'!$C$5:$C$301,$A151))</f>
        <v/>
      </c>
      <c r="H151" s="55" t="str">
        <f aca="false">IF($F151=0,"",_xlfn.MAXIFS('Training Log'!$A$5:$A$301,'Training Log'!$C$5:$C$301,$A151))</f>
        <v/>
      </c>
    </row>
    <row r="152" customFormat="false" ht="15" hidden="false" customHeight="false" outlineLevel="0" collapsed="false">
      <c r="A152" s="54" t="s">
        <v>197</v>
      </c>
      <c r="B152" s="54" t="str">
        <f aca="false">IFERROR(INDEX(ExPrimary,MATCH($A152,ExName,0)),"")</f>
        <v>Quads</v>
      </c>
      <c r="C152" s="53" t="str">
        <f aca="false">IF(N(INDEX(Ex1RM,MATCH($A152,ExName,0)))=0,"",INDEX(Ex1RM,MATCH($A152,ExName,0)))</f>
        <v/>
      </c>
      <c r="D152" s="53" t="str">
        <f aca="false">IF($F152=0,"",_xlfn.MAXIFS('Training Log'!$I$5:$I$301,'Training Log'!$C$5:$C$301,$A152))</f>
        <v/>
      </c>
      <c r="E152" s="53" t="str">
        <f aca="false">IF($F152=0,"",_xlfn.MAXIFS('Training Log'!$E$5:$E$301,'Training Log'!$C$5:$C$301,$A152))</f>
        <v/>
      </c>
      <c r="F152" s="48" t="n">
        <f aca="false">COUNTIFS('Training Log'!$C$5:$C$301,$A152)</f>
        <v>0</v>
      </c>
      <c r="G152" s="53" t="str">
        <f aca="false">IF($F152=0,"",SUMIFS('Training Log'!$H$5:$H$301,'Training Log'!$C$5:$C$301,$A152))</f>
        <v/>
      </c>
      <c r="H152" s="55" t="str">
        <f aca="false">IF($F152=0,"",_xlfn.MAXIFS('Training Log'!$A$5:$A$301,'Training Log'!$C$5:$C$301,$A152))</f>
        <v/>
      </c>
    </row>
    <row r="153" customFormat="false" ht="15" hidden="false" customHeight="false" outlineLevel="0" collapsed="false">
      <c r="A153" s="54" t="s">
        <v>133</v>
      </c>
      <c r="B153" s="54" t="str">
        <f aca="false">IFERROR(INDEX(ExPrimary,MATCH($A153,ExName,0)),"")</f>
        <v>Hamstrings</v>
      </c>
      <c r="C153" s="53" t="str">
        <f aca="false">IF(N(INDEX(Ex1RM,MATCH($A153,ExName,0)))=0,"",INDEX(Ex1RM,MATCH($A153,ExName,0)))</f>
        <v/>
      </c>
      <c r="D153" s="53" t="str">
        <f aca="false">IF($F153=0,"",_xlfn.MAXIFS('Training Log'!$I$5:$I$301,'Training Log'!$C$5:$C$301,$A153))</f>
        <v/>
      </c>
      <c r="E153" s="53" t="str">
        <f aca="false">IF($F153=0,"",_xlfn.MAXIFS('Training Log'!$E$5:$E$301,'Training Log'!$C$5:$C$301,$A153))</f>
        <v/>
      </c>
      <c r="F153" s="48" t="n">
        <f aca="false">COUNTIFS('Training Log'!$C$5:$C$301,$A153)</f>
        <v>0</v>
      </c>
      <c r="G153" s="53" t="str">
        <f aca="false">IF($F153=0,"",SUMIFS('Training Log'!$H$5:$H$301,'Training Log'!$C$5:$C$301,$A153))</f>
        <v/>
      </c>
      <c r="H153" s="55" t="str">
        <f aca="false">IF($F153=0,"",_xlfn.MAXIFS('Training Log'!$A$5:$A$301,'Training Log'!$C$5:$C$301,$A153))</f>
        <v/>
      </c>
    </row>
    <row r="154" customFormat="false" ht="15" hidden="false" customHeight="false" outlineLevel="0" collapsed="false">
      <c r="A154" s="54" t="s">
        <v>378</v>
      </c>
      <c r="B154" s="54" t="str">
        <f aca="false">IFERROR(INDEX(ExPrimary,MATCH($A154,ExName,0)),"")</f>
        <v>Back</v>
      </c>
      <c r="C154" s="53" t="str">
        <f aca="false">IF(N(INDEX(Ex1RM,MATCH($A154,ExName,0)))=0,"",INDEX(Ex1RM,MATCH($A154,ExName,0)))</f>
        <v/>
      </c>
      <c r="D154" s="53" t="str">
        <f aca="false">IF($F154=0,"",_xlfn.MAXIFS('Training Log'!$I$5:$I$301,'Training Log'!$C$5:$C$301,$A154))</f>
        <v/>
      </c>
      <c r="E154" s="53" t="str">
        <f aca="false">IF($F154=0,"",_xlfn.MAXIFS('Training Log'!$E$5:$E$301,'Training Log'!$C$5:$C$301,$A154))</f>
        <v/>
      </c>
      <c r="F154" s="48" t="n">
        <f aca="false">COUNTIFS('Training Log'!$C$5:$C$301,$A154)</f>
        <v>0</v>
      </c>
      <c r="G154" s="53" t="str">
        <f aca="false">IF($F154=0,"",SUMIFS('Training Log'!$H$5:$H$301,'Training Log'!$C$5:$C$301,$A154))</f>
        <v/>
      </c>
      <c r="H154" s="55" t="str">
        <f aca="false">IF($F154=0,"",_xlfn.MAXIFS('Training Log'!$A$5:$A$301,'Training Log'!$C$5:$C$301,$A154))</f>
        <v/>
      </c>
    </row>
    <row r="155" customFormat="false" ht="15" hidden="false" customHeight="false" outlineLevel="0" collapsed="false">
      <c r="A155" s="54" t="s">
        <v>530</v>
      </c>
      <c r="B155" s="54" t="str">
        <f aca="false">IFERROR(INDEX(ExPrimary,MATCH($A155,ExName,0)),"")</f>
        <v>Core</v>
      </c>
      <c r="C155" s="53" t="str">
        <f aca="false">IF(N(INDEX(Ex1RM,MATCH($A155,ExName,0)))=0,"",INDEX(Ex1RM,MATCH($A155,ExName,0)))</f>
        <v/>
      </c>
      <c r="D155" s="53" t="str">
        <f aca="false">IF($F155=0,"",_xlfn.MAXIFS('Training Log'!$I$5:$I$301,'Training Log'!$C$5:$C$301,$A155))</f>
        <v/>
      </c>
      <c r="E155" s="53" t="str">
        <f aca="false">IF($F155=0,"",_xlfn.MAXIFS('Training Log'!$E$5:$E$301,'Training Log'!$C$5:$C$301,$A155))</f>
        <v/>
      </c>
      <c r="F155" s="48" t="n">
        <f aca="false">COUNTIFS('Training Log'!$C$5:$C$301,$A155)</f>
        <v>0</v>
      </c>
      <c r="G155" s="53" t="str">
        <f aca="false">IF($F155=0,"",SUMIFS('Training Log'!$H$5:$H$301,'Training Log'!$C$5:$C$301,$A155))</f>
        <v/>
      </c>
      <c r="H155" s="55" t="str">
        <f aca="false">IF($F155=0,"",_xlfn.MAXIFS('Training Log'!$A$5:$A$301,'Training Log'!$C$5:$C$301,$A155))</f>
        <v/>
      </c>
    </row>
    <row r="156" customFormat="false" ht="15" hidden="false" customHeight="false" outlineLevel="0" collapsed="false">
      <c r="A156" s="54" t="s">
        <v>126</v>
      </c>
      <c r="B156" s="54" t="str">
        <f aca="false">IFERROR(INDEX(ExPrimary,MATCH($A156,ExName,0)),"")</f>
        <v>Glutes</v>
      </c>
      <c r="C156" s="53" t="str">
        <f aca="false">IF(N(INDEX(Ex1RM,MATCH($A156,ExName,0)))=0,"",INDEX(Ex1RM,MATCH($A156,ExName,0)))</f>
        <v/>
      </c>
      <c r="D156" s="53" t="str">
        <f aca="false">IF($F156=0,"",_xlfn.MAXIFS('Training Log'!$I$5:$I$301,'Training Log'!$C$5:$C$301,$A156))</f>
        <v/>
      </c>
      <c r="E156" s="53" t="str">
        <f aca="false">IF($F156=0,"",_xlfn.MAXIFS('Training Log'!$E$5:$E$301,'Training Log'!$C$5:$C$301,$A156))</f>
        <v/>
      </c>
      <c r="F156" s="48" t="n">
        <f aca="false">COUNTIFS('Training Log'!$C$5:$C$301,$A156)</f>
        <v>0</v>
      </c>
      <c r="G156" s="53" t="str">
        <f aca="false">IF($F156=0,"",SUMIFS('Training Log'!$H$5:$H$301,'Training Log'!$C$5:$C$301,$A156))</f>
        <v/>
      </c>
      <c r="H156" s="55" t="str">
        <f aca="false">IF($F156=0,"",_xlfn.MAXIFS('Training Log'!$A$5:$A$301,'Training Log'!$C$5:$C$301,$A156))</f>
        <v/>
      </c>
    </row>
    <row r="157" customFormat="false" ht="15" hidden="false" customHeight="false" outlineLevel="0" collapsed="false">
      <c r="A157" s="54" t="s">
        <v>332</v>
      </c>
      <c r="B157" s="54" t="str">
        <f aca="false">IFERROR(INDEX(ExPrimary,MATCH($A157,ExName,0)),"")</f>
        <v>Back</v>
      </c>
      <c r="C157" s="53" t="str">
        <f aca="false">IF(N(INDEX(Ex1RM,MATCH($A157,ExName,0)))=0,"",INDEX(Ex1RM,MATCH($A157,ExName,0)))</f>
        <v/>
      </c>
      <c r="D157" s="53" t="str">
        <f aca="false">IF($F157=0,"",_xlfn.MAXIFS('Training Log'!$I$5:$I$301,'Training Log'!$C$5:$C$301,$A157))</f>
        <v/>
      </c>
      <c r="E157" s="53" t="str">
        <f aca="false">IF($F157=0,"",_xlfn.MAXIFS('Training Log'!$E$5:$E$301,'Training Log'!$C$5:$C$301,$A157))</f>
        <v/>
      </c>
      <c r="F157" s="48" t="n">
        <f aca="false">COUNTIFS('Training Log'!$C$5:$C$301,$A157)</f>
        <v>0</v>
      </c>
      <c r="G157" s="53" t="str">
        <f aca="false">IF($F157=0,"",SUMIFS('Training Log'!$H$5:$H$301,'Training Log'!$C$5:$C$301,$A157))</f>
        <v/>
      </c>
      <c r="H157" s="55" t="str">
        <f aca="false">IF($F157=0,"",_xlfn.MAXIFS('Training Log'!$A$5:$A$301,'Training Log'!$C$5:$C$301,$A157))</f>
        <v/>
      </c>
    </row>
    <row r="158" customFormat="false" ht="15" hidden="false" customHeight="false" outlineLevel="0" collapsed="false">
      <c r="A158" s="54" t="s">
        <v>430</v>
      </c>
      <c r="B158" s="54" t="str">
        <f aca="false">IFERROR(INDEX(ExPrimary,MATCH($A158,ExName,0)),"")</f>
        <v>Full body</v>
      </c>
      <c r="C158" s="53" t="str">
        <f aca="false">IF(N(INDEX(Ex1RM,MATCH($A158,ExName,0)))=0,"",INDEX(Ex1RM,MATCH($A158,ExName,0)))</f>
        <v/>
      </c>
      <c r="D158" s="53" t="str">
        <f aca="false">IF($F158=0,"",_xlfn.MAXIFS('Training Log'!$I$5:$I$301,'Training Log'!$C$5:$C$301,$A158))</f>
        <v/>
      </c>
      <c r="E158" s="53" t="str">
        <f aca="false">IF($F158=0,"",_xlfn.MAXIFS('Training Log'!$E$5:$E$301,'Training Log'!$C$5:$C$301,$A158))</f>
        <v/>
      </c>
      <c r="F158" s="48" t="n">
        <f aca="false">COUNTIFS('Training Log'!$C$5:$C$301,$A158)</f>
        <v>0</v>
      </c>
      <c r="G158" s="53" t="str">
        <f aca="false">IF($F158=0,"",SUMIFS('Training Log'!$H$5:$H$301,'Training Log'!$C$5:$C$301,$A158))</f>
        <v/>
      </c>
      <c r="H158" s="55" t="str">
        <f aca="false">IF($F158=0,"",_xlfn.MAXIFS('Training Log'!$A$5:$A$301,'Training Log'!$C$5:$C$301,$A158))</f>
        <v/>
      </c>
    </row>
    <row r="159" customFormat="false" ht="15" hidden="false" customHeight="false" outlineLevel="0" collapsed="false">
      <c r="A159" s="54" t="s">
        <v>644</v>
      </c>
      <c r="B159" s="54" t="str">
        <f aca="false">IFERROR(INDEX(ExPrimary,MATCH($A159,ExName,0)),"")</f>
        <v>Calves</v>
      </c>
      <c r="C159" s="53" t="str">
        <f aca="false">IF(N(INDEX(Ex1RM,MATCH($A159,ExName,0)))=0,"",INDEX(Ex1RM,MATCH($A159,ExName,0)))</f>
        <v/>
      </c>
      <c r="D159" s="53" t="str">
        <f aca="false">IF($F159=0,"",_xlfn.MAXIFS('Training Log'!$I$5:$I$301,'Training Log'!$C$5:$C$301,$A159))</f>
        <v/>
      </c>
      <c r="E159" s="53" t="str">
        <f aca="false">IF($F159=0,"",_xlfn.MAXIFS('Training Log'!$E$5:$E$301,'Training Log'!$C$5:$C$301,$A159))</f>
        <v/>
      </c>
      <c r="F159" s="48" t="n">
        <f aca="false">COUNTIFS('Training Log'!$C$5:$C$301,$A159)</f>
        <v>0</v>
      </c>
      <c r="G159" s="53" t="str">
        <f aca="false">IF($F159=0,"",SUMIFS('Training Log'!$H$5:$H$301,'Training Log'!$C$5:$C$301,$A159))</f>
        <v/>
      </c>
      <c r="H159" s="55" t="str">
        <f aca="false">IF($F159=0,"",_xlfn.MAXIFS('Training Log'!$A$5:$A$301,'Training Log'!$C$5:$C$301,$A159))</f>
        <v/>
      </c>
    </row>
    <row r="160" customFormat="false" ht="15" hidden="false" customHeight="false" outlineLevel="0" collapsed="false">
      <c r="A160" s="54" t="s">
        <v>491</v>
      </c>
      <c r="B160" s="54" t="str">
        <f aca="false">IFERROR(INDEX(ExPrimary,MATCH($A160,ExName,0)),"")</f>
        <v>Core</v>
      </c>
      <c r="C160" s="53" t="str">
        <f aca="false">IF(N(INDEX(Ex1RM,MATCH($A160,ExName,0)))=0,"",INDEX(Ex1RM,MATCH($A160,ExName,0)))</f>
        <v/>
      </c>
      <c r="D160" s="53" t="str">
        <f aca="false">IF($F160=0,"",_xlfn.MAXIFS('Training Log'!$I$5:$I$301,'Training Log'!$C$5:$C$301,$A160))</f>
        <v/>
      </c>
      <c r="E160" s="53" t="str">
        <f aca="false">IF($F160=0,"",_xlfn.MAXIFS('Training Log'!$E$5:$E$301,'Training Log'!$C$5:$C$301,$A160))</f>
        <v/>
      </c>
      <c r="F160" s="48" t="n">
        <f aca="false">COUNTIFS('Training Log'!$C$5:$C$301,$A160)</f>
        <v>0</v>
      </c>
      <c r="G160" s="53" t="str">
        <f aca="false">IF($F160=0,"",SUMIFS('Training Log'!$H$5:$H$301,'Training Log'!$C$5:$C$301,$A160))</f>
        <v/>
      </c>
      <c r="H160" s="55" t="str">
        <f aca="false">IF($F160=0,"",_xlfn.MAXIFS('Training Log'!$A$5:$A$301,'Training Log'!$C$5:$C$301,$A160))</f>
        <v/>
      </c>
    </row>
    <row r="161" customFormat="false" ht="15" hidden="false" customHeight="false" outlineLevel="0" collapsed="false">
      <c r="A161" s="54" t="s">
        <v>145</v>
      </c>
      <c r="B161" s="54" t="str">
        <f aca="false">IFERROR(INDEX(ExPrimary,MATCH($A161,ExName,0)),"")</f>
        <v>Quads</v>
      </c>
      <c r="C161" s="53" t="str">
        <f aca="false">IF(N(INDEX(Ex1RM,MATCH($A161,ExName,0)))=0,"",INDEX(Ex1RM,MATCH($A161,ExName,0)))</f>
        <v/>
      </c>
      <c r="D161" s="53" t="str">
        <f aca="false">IF($F161=0,"",_xlfn.MAXIFS('Training Log'!$I$5:$I$301,'Training Log'!$C$5:$C$301,$A161))</f>
        <v/>
      </c>
      <c r="E161" s="53" t="str">
        <f aca="false">IF($F161=0,"",_xlfn.MAXIFS('Training Log'!$E$5:$E$301,'Training Log'!$C$5:$C$301,$A161))</f>
        <v/>
      </c>
      <c r="F161" s="48" t="n">
        <f aca="false">COUNTIFS('Training Log'!$C$5:$C$301,$A161)</f>
        <v>0</v>
      </c>
      <c r="G161" s="53" t="str">
        <f aca="false">IF($F161=0,"",SUMIFS('Training Log'!$H$5:$H$301,'Training Log'!$C$5:$C$301,$A161))</f>
        <v/>
      </c>
      <c r="H161" s="55" t="str">
        <f aca="false">IF($F161=0,"",_xlfn.MAXIFS('Training Log'!$A$5:$A$301,'Training Log'!$C$5:$C$301,$A161))</f>
        <v/>
      </c>
    </row>
    <row r="162" customFormat="false" ht="15" hidden="false" customHeight="false" outlineLevel="0" collapsed="false">
      <c r="A162" s="54" t="s">
        <v>583</v>
      </c>
      <c r="B162" s="54" t="str">
        <f aca="false">IFERROR(INDEX(ExPrimary,MATCH($A162,ExName,0)),"")</f>
        <v>Triceps</v>
      </c>
      <c r="C162" s="53" t="str">
        <f aca="false">IF(N(INDEX(Ex1RM,MATCH($A162,ExName,0)))=0,"",INDEX(Ex1RM,MATCH($A162,ExName,0)))</f>
        <v/>
      </c>
      <c r="D162" s="53" t="str">
        <f aca="false">IF($F162=0,"",_xlfn.MAXIFS('Training Log'!$I$5:$I$301,'Training Log'!$C$5:$C$301,$A162))</f>
        <v/>
      </c>
      <c r="E162" s="53" t="str">
        <f aca="false">IF($F162=0,"",_xlfn.MAXIFS('Training Log'!$E$5:$E$301,'Training Log'!$C$5:$C$301,$A162))</f>
        <v/>
      </c>
      <c r="F162" s="48" t="n">
        <f aca="false">COUNTIFS('Training Log'!$C$5:$C$301,$A162)</f>
        <v>0</v>
      </c>
      <c r="G162" s="53" t="str">
        <f aca="false">IF($F162=0,"",SUMIFS('Training Log'!$H$5:$H$301,'Training Log'!$C$5:$C$301,$A162))</f>
        <v/>
      </c>
      <c r="H162" s="55" t="str">
        <f aca="false">IF($F162=0,"",_xlfn.MAXIFS('Training Log'!$A$5:$A$301,'Training Log'!$C$5:$C$301,$A162))</f>
        <v/>
      </c>
    </row>
    <row r="163" customFormat="false" ht="15" hidden="false" customHeight="false" outlineLevel="0" collapsed="false">
      <c r="A163" s="54" t="s">
        <v>574</v>
      </c>
      <c r="B163" s="54" t="str">
        <f aca="false">IFERROR(INDEX(ExPrimary,MATCH($A163,ExName,0)),"")</f>
        <v>Triceps</v>
      </c>
      <c r="C163" s="53" t="str">
        <f aca="false">IF(N(INDEX(Ex1RM,MATCH($A163,ExName,0)))=0,"",INDEX(Ex1RM,MATCH($A163,ExName,0)))</f>
        <v/>
      </c>
      <c r="D163" s="53" t="str">
        <f aca="false">IF($F163=0,"",_xlfn.MAXIFS('Training Log'!$I$5:$I$301,'Training Log'!$C$5:$C$301,$A163))</f>
        <v/>
      </c>
      <c r="E163" s="53" t="str">
        <f aca="false">IF($F163=0,"",_xlfn.MAXIFS('Training Log'!$E$5:$E$301,'Training Log'!$C$5:$C$301,$A163))</f>
        <v/>
      </c>
      <c r="F163" s="48" t="n">
        <f aca="false">COUNTIFS('Training Log'!$C$5:$C$301,$A163)</f>
        <v>0</v>
      </c>
      <c r="G163" s="53" t="str">
        <f aca="false">IF($F163=0,"",SUMIFS('Training Log'!$H$5:$H$301,'Training Log'!$C$5:$C$301,$A163))</f>
        <v/>
      </c>
      <c r="H163" s="55" t="str">
        <f aca="false">IF($F163=0,"",_xlfn.MAXIFS('Training Log'!$A$5:$A$301,'Training Log'!$C$5:$C$301,$A163))</f>
        <v/>
      </c>
    </row>
    <row r="164" customFormat="false" ht="15" hidden="false" customHeight="false" outlineLevel="0" collapsed="false">
      <c r="A164" s="54" t="s">
        <v>601</v>
      </c>
      <c r="B164" s="54" t="str">
        <f aca="false">IFERROR(INDEX(ExPrimary,MATCH($A164,ExName,0)),"")</f>
        <v>Traps</v>
      </c>
      <c r="C164" s="53" t="str">
        <f aca="false">IF(N(INDEX(Ex1RM,MATCH($A164,ExName,0)))=0,"",INDEX(Ex1RM,MATCH($A164,ExName,0)))</f>
        <v/>
      </c>
      <c r="D164" s="53" t="str">
        <f aca="false">IF($F164=0,"",_xlfn.MAXIFS('Training Log'!$I$5:$I$301,'Training Log'!$C$5:$C$301,$A164))</f>
        <v/>
      </c>
      <c r="E164" s="53" t="str">
        <f aca="false">IF($F164=0,"",_xlfn.MAXIFS('Training Log'!$E$5:$E$301,'Training Log'!$C$5:$C$301,$A164))</f>
        <v/>
      </c>
      <c r="F164" s="48" t="n">
        <f aca="false">COUNTIFS('Training Log'!$C$5:$C$301,$A164)</f>
        <v>0</v>
      </c>
      <c r="G164" s="53" t="str">
        <f aca="false">IF($F164=0,"",SUMIFS('Training Log'!$H$5:$H$301,'Training Log'!$C$5:$C$301,$A164))</f>
        <v/>
      </c>
      <c r="H164" s="55" t="str">
        <f aca="false">IF($F164=0,"",_xlfn.MAXIFS('Training Log'!$A$5:$A$301,'Training Log'!$C$5:$C$301,$A164))</f>
        <v/>
      </c>
    </row>
    <row r="165" customFormat="false" ht="15" hidden="false" customHeight="false" outlineLevel="0" collapsed="false">
      <c r="A165" s="54" t="s">
        <v>183</v>
      </c>
      <c r="B165" s="54" t="str">
        <f aca="false">IFERROR(INDEX(ExPrimary,MATCH($A165,ExName,0)),"")</f>
        <v>Quads</v>
      </c>
      <c r="C165" s="53" t="str">
        <f aca="false">IF(N(INDEX(Ex1RM,MATCH($A165,ExName,0)))=0,"",INDEX(Ex1RM,MATCH($A165,ExName,0)))</f>
        <v/>
      </c>
      <c r="D165" s="53" t="str">
        <f aca="false">IF($F165=0,"",_xlfn.MAXIFS('Training Log'!$I$5:$I$301,'Training Log'!$C$5:$C$301,$A165))</f>
        <v/>
      </c>
      <c r="E165" s="53" t="str">
        <f aca="false">IF($F165=0,"",_xlfn.MAXIFS('Training Log'!$E$5:$E$301,'Training Log'!$C$5:$C$301,$A165))</f>
        <v/>
      </c>
      <c r="F165" s="48" t="n">
        <f aca="false">COUNTIFS('Training Log'!$C$5:$C$301,$A165)</f>
        <v>0</v>
      </c>
      <c r="G165" s="53" t="str">
        <f aca="false">IF($F165=0,"",SUMIFS('Training Log'!$H$5:$H$301,'Training Log'!$C$5:$C$301,$A165))</f>
        <v/>
      </c>
      <c r="H165" s="55" t="str">
        <f aca="false">IF($F165=0,"",_xlfn.MAXIFS('Training Log'!$A$5:$A$301,'Training Log'!$C$5:$C$301,$A165))</f>
        <v/>
      </c>
    </row>
    <row r="166" customFormat="false" ht="15" hidden="false" customHeight="false" outlineLevel="0" collapsed="false">
      <c r="A166" s="54" t="s">
        <v>116</v>
      </c>
      <c r="B166" s="54" t="str">
        <f aca="false">IFERROR(INDEX(ExPrimary,MATCH($A166,ExName,0)),"")</f>
        <v>Quads</v>
      </c>
      <c r="C166" s="53" t="str">
        <f aca="false">IF(N(INDEX(Ex1RM,MATCH($A166,ExName,0)))=0,"",INDEX(Ex1RM,MATCH($A166,ExName,0)))</f>
        <v/>
      </c>
      <c r="D166" s="53" t="str">
        <f aca="false">IF($F166=0,"",_xlfn.MAXIFS('Training Log'!$I$5:$I$301,'Training Log'!$C$5:$C$301,$A166))</f>
        <v/>
      </c>
      <c r="E166" s="53" t="str">
        <f aca="false">IF($F166=0,"",_xlfn.MAXIFS('Training Log'!$E$5:$E$301,'Training Log'!$C$5:$C$301,$A166))</f>
        <v/>
      </c>
      <c r="F166" s="48" t="n">
        <f aca="false">COUNTIFS('Training Log'!$C$5:$C$301,$A166)</f>
        <v>0</v>
      </c>
      <c r="G166" s="53" t="str">
        <f aca="false">IF($F166=0,"",SUMIFS('Training Log'!$H$5:$H$301,'Training Log'!$C$5:$C$301,$A166))</f>
        <v/>
      </c>
      <c r="H166" s="55" t="str">
        <f aca="false">IF($F166=0,"",_xlfn.MAXIFS('Training Log'!$A$5:$A$301,'Training Log'!$C$5:$C$301,$A166))</f>
        <v/>
      </c>
    </row>
    <row r="167" customFormat="false" ht="15" hidden="false" customHeight="false" outlineLevel="0" collapsed="false">
      <c r="A167" s="54" t="s">
        <v>366</v>
      </c>
      <c r="B167" s="54" t="str">
        <f aca="false">IFERROR(INDEX(ExPrimary,MATCH($A167,ExName,0)),"")</f>
        <v>Back</v>
      </c>
      <c r="C167" s="53" t="str">
        <f aca="false">IF(N(INDEX(Ex1RM,MATCH($A167,ExName,0)))=0,"",INDEX(Ex1RM,MATCH($A167,ExName,0)))</f>
        <v/>
      </c>
      <c r="D167" s="53" t="str">
        <f aca="false">IF($F167=0,"",_xlfn.MAXIFS('Training Log'!$I$5:$I$301,'Training Log'!$C$5:$C$301,$A167))</f>
        <v/>
      </c>
      <c r="E167" s="53" t="str">
        <f aca="false">IF($F167=0,"",_xlfn.MAXIFS('Training Log'!$E$5:$E$301,'Training Log'!$C$5:$C$301,$A167))</f>
        <v/>
      </c>
      <c r="F167" s="48" t="n">
        <f aca="false">COUNTIFS('Training Log'!$C$5:$C$301,$A167)</f>
        <v>0</v>
      </c>
      <c r="G167" s="53" t="str">
        <f aca="false">IF($F167=0,"",SUMIFS('Training Log'!$H$5:$H$301,'Training Log'!$C$5:$C$301,$A167))</f>
        <v/>
      </c>
      <c r="H167" s="55" t="str">
        <f aca="false">IF($F167=0,"",_xlfn.MAXIFS('Training Log'!$A$5:$A$301,'Training Log'!$C$5:$C$301,$A167))</f>
        <v/>
      </c>
    </row>
    <row r="168" customFormat="false" ht="15" hidden="false" customHeight="false" outlineLevel="0" collapsed="false">
      <c r="A168" s="54" t="s">
        <v>586</v>
      </c>
      <c r="B168" s="54" t="str">
        <f aca="false">IFERROR(INDEX(ExPrimary,MATCH($A168,ExName,0)),"")</f>
        <v>Forearms</v>
      </c>
      <c r="C168" s="53" t="str">
        <f aca="false">IF(N(INDEX(Ex1RM,MATCH($A168,ExName,0)))=0,"",INDEX(Ex1RM,MATCH($A168,ExName,0)))</f>
        <v/>
      </c>
      <c r="D168" s="53" t="str">
        <f aca="false">IF($F168=0,"",_xlfn.MAXIFS('Training Log'!$I$5:$I$301,'Training Log'!$C$5:$C$301,$A168))</f>
        <v/>
      </c>
      <c r="E168" s="53" t="str">
        <f aca="false">IF($F168=0,"",_xlfn.MAXIFS('Training Log'!$E$5:$E$301,'Training Log'!$C$5:$C$301,$A168))</f>
        <v/>
      </c>
      <c r="F168" s="48" t="n">
        <f aca="false">COUNTIFS('Training Log'!$C$5:$C$301,$A168)</f>
        <v>0</v>
      </c>
      <c r="G168" s="53" t="str">
        <f aca="false">IF($F168=0,"",SUMIFS('Training Log'!$H$5:$H$301,'Training Log'!$C$5:$C$301,$A168))</f>
        <v/>
      </c>
      <c r="H168" s="55" t="str">
        <f aca="false">IF($F168=0,"",_xlfn.MAXIFS('Training Log'!$A$5:$A$301,'Training Log'!$C$5:$C$301,$A168))</f>
        <v/>
      </c>
    </row>
    <row r="169" customFormat="false" ht="15" hidden="false" customHeight="false" outlineLevel="0" collapsed="false">
      <c r="A169" s="54" t="s">
        <v>310</v>
      </c>
      <c r="B169" s="54" t="str">
        <f aca="false">IFERROR(INDEX(ExPrimary,MATCH($A169,ExName,0)),"")</f>
        <v>Shoulders</v>
      </c>
      <c r="C169" s="53" t="str">
        <f aca="false">IF(N(INDEX(Ex1RM,MATCH($A169,ExName,0)))=0,"",INDEX(Ex1RM,MATCH($A169,ExName,0)))</f>
        <v/>
      </c>
      <c r="D169" s="53" t="str">
        <f aca="false">IF($F169=0,"",_xlfn.MAXIFS('Training Log'!$I$5:$I$301,'Training Log'!$C$5:$C$301,$A169))</f>
        <v/>
      </c>
      <c r="E169" s="53" t="str">
        <f aca="false">IF($F169=0,"",_xlfn.MAXIFS('Training Log'!$E$5:$E$301,'Training Log'!$C$5:$C$301,$A169))</f>
        <v/>
      </c>
      <c r="F169" s="48" t="n">
        <f aca="false">COUNTIFS('Training Log'!$C$5:$C$301,$A169)</f>
        <v>0</v>
      </c>
      <c r="G169" s="53" t="str">
        <f aca="false">IF($F169=0,"",SUMIFS('Training Log'!$H$5:$H$301,'Training Log'!$C$5:$C$301,$A169))</f>
        <v/>
      </c>
      <c r="H169" s="55" t="str">
        <f aca="false">IF($F169=0,"",_xlfn.MAXIFS('Training Log'!$A$5:$A$301,'Training Log'!$C$5:$C$301,$A169))</f>
        <v/>
      </c>
    </row>
    <row r="170" customFormat="false" ht="15" hidden="false" customHeight="false" outlineLevel="0" collapsed="false">
      <c r="A170" s="54" t="s">
        <v>541</v>
      </c>
      <c r="B170" s="54" t="str">
        <f aca="false">IFERROR(INDEX(ExPrimary,MATCH($A170,ExName,0)),"")</f>
        <v>Core</v>
      </c>
      <c r="C170" s="53" t="str">
        <f aca="false">IF(N(INDEX(Ex1RM,MATCH($A170,ExName,0)))=0,"",INDEX(Ex1RM,MATCH($A170,ExName,0)))</f>
        <v/>
      </c>
      <c r="D170" s="53" t="str">
        <f aca="false">IF($F170=0,"",_xlfn.MAXIFS('Training Log'!$I$5:$I$301,'Training Log'!$C$5:$C$301,$A170))</f>
        <v/>
      </c>
      <c r="E170" s="53" t="str">
        <f aca="false">IF($F170=0,"",_xlfn.MAXIFS('Training Log'!$E$5:$E$301,'Training Log'!$C$5:$C$301,$A170))</f>
        <v/>
      </c>
      <c r="F170" s="48" t="n">
        <f aca="false">COUNTIFS('Training Log'!$C$5:$C$301,$A170)</f>
        <v>0</v>
      </c>
      <c r="G170" s="53" t="str">
        <f aca="false">IF($F170=0,"",SUMIFS('Training Log'!$H$5:$H$301,'Training Log'!$C$5:$C$301,$A170))</f>
        <v/>
      </c>
      <c r="H170" s="55" t="str">
        <f aca="false">IF($F170=0,"",_xlfn.MAXIFS('Training Log'!$A$5:$A$301,'Training Log'!$C$5:$C$301,$A170))</f>
        <v/>
      </c>
    </row>
    <row r="171" customFormat="false" ht="15" hidden="false" customHeight="false" outlineLevel="0" collapsed="false">
      <c r="A171" s="54" t="s">
        <v>86</v>
      </c>
      <c r="B171" s="54" t="str">
        <f aca="false">IFERROR(INDEX(ExPrimary,MATCH($A171,ExName,0)),"")</f>
        <v>Quads</v>
      </c>
      <c r="C171" s="53" t="str">
        <f aca="false">IF(N(INDEX(Ex1RM,MATCH($A171,ExName,0)))=0,"",INDEX(Ex1RM,MATCH($A171,ExName,0)))</f>
        <v/>
      </c>
      <c r="D171" s="53" t="str">
        <f aca="false">IF($F171=0,"",_xlfn.MAXIFS('Training Log'!$I$5:$I$301,'Training Log'!$C$5:$C$301,$A171))</f>
        <v/>
      </c>
      <c r="E171" s="53" t="str">
        <f aca="false">IF($F171=0,"",_xlfn.MAXIFS('Training Log'!$E$5:$E$301,'Training Log'!$C$5:$C$301,$A171))</f>
        <v/>
      </c>
      <c r="F171" s="48" t="n">
        <f aca="false">COUNTIFS('Training Log'!$C$5:$C$301,$A171)</f>
        <v>0</v>
      </c>
      <c r="G171" s="53" t="str">
        <f aca="false">IF($F171=0,"",SUMIFS('Training Log'!$H$5:$H$301,'Training Log'!$C$5:$C$301,$A171))</f>
        <v/>
      </c>
      <c r="H171" s="55" t="str">
        <f aca="false">IF($F171=0,"",_xlfn.MAXIFS('Training Log'!$A$5:$A$301,'Training Log'!$C$5:$C$301,$A171))</f>
        <v/>
      </c>
    </row>
  </sheetData>
  <autoFilter ref="A4:H1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2026-08-01T10:11:21Z</dcterms:created>
  <dc:creator>openpyxl</dc:creator>
  <dc:description/>
  <dc:language>en-US</dc:language>
  <cp:lastModifiedBy/>
  <dcterms:modified xsi:type="dcterms:W3CDTF">2026-08-01T10:11:22Z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